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Batches" sheetId="2" state="visible" r:id="rId2"/>
    <sheet name="Contributions" sheetId="3" state="visible" r:id="rId3"/>
    <sheet name="Returns" sheetId="4" state="visible" r:id="rId4"/>
    <sheet name="Payouts" sheetId="5" state="visible" r:id="rId5"/>
    <sheet name="Dashboard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0" customWidth="1" min="4" max="4"/>
  </cols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Phone_Email</t>
        </is>
      </c>
      <c r="D1" s="1" t="inlineStr">
        <is>
          <t>Active</t>
        </is>
      </c>
    </row>
    <row r="2">
      <c r="A2" t="inlineStr">
        <is>
          <t>M001</t>
        </is>
      </c>
      <c r="B2" t="inlineStr">
        <is>
          <t>Sample Member 1</t>
        </is>
      </c>
      <c r="C2" t="inlineStr"/>
      <c r="D2" t="inlineStr">
        <is>
          <t>Yes</t>
        </is>
      </c>
    </row>
    <row r="3">
      <c r="A3" t="inlineStr">
        <is>
          <t>M002</t>
        </is>
      </c>
      <c r="B3" t="inlineStr">
        <is>
          <t>Sample Member 2</t>
        </is>
      </c>
      <c r="C3" t="inlineStr"/>
      <c r="D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Batch_ID</t>
        </is>
      </c>
      <c r="B1" s="1" t="inlineStr">
        <is>
          <t>Start_Date</t>
        </is>
      </c>
      <c r="C1" s="1" t="inlineStr">
        <is>
          <t>Term_Months</t>
        </is>
      </c>
      <c r="D1" s="1" t="inlineStr">
        <is>
          <t>Share_Price</t>
        </is>
      </c>
      <c r="E1" s="1" t="inlineStr">
        <is>
          <t>Maturity_Date</t>
        </is>
      </c>
      <c r="F1" s="1" t="inlineStr">
        <is>
          <t>Status</t>
        </is>
      </c>
    </row>
    <row r="2">
      <c r="A2" t="inlineStr">
        <is>
          <t>B001</t>
        </is>
      </c>
      <c r="B2" t="inlineStr">
        <is>
          <t>2026-03-01</t>
        </is>
      </c>
      <c r="C2" t="n">
        <v>3</v>
      </c>
      <c r="D2" t="n">
        <v>2000</v>
      </c>
      <c r="E2">
        <f>EDATE(B2,C2)</f>
        <v/>
      </c>
      <c r="F2" t="inlineStr">
        <is>
          <t>Open</t>
        </is>
      </c>
    </row>
  </sheetData>
  <dataValidations count="1">
    <dataValidation sqref="F2:F1000" showDropDown="0" showInputMessage="0" showErrorMessage="0" allowBlank="1" type="list">
      <formula1>"Open,Closed"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Batch_ID</t>
        </is>
      </c>
      <c r="C1" s="1" t="inlineStr">
        <is>
          <t>Member_ID</t>
        </is>
      </c>
      <c r="D1" s="1" t="inlineStr">
        <is>
          <t>Shares</t>
        </is>
      </c>
      <c r="E1" s="1" t="inlineStr">
        <is>
          <t>Amount</t>
        </is>
      </c>
      <c r="F1" s="1" t="inlineStr">
        <is>
          <t>Source</t>
        </is>
      </c>
      <c r="G1" s="1" t="inlineStr">
        <is>
          <t>Source_Batch_ID</t>
        </is>
      </c>
    </row>
    <row r="2">
      <c r="A2" t="inlineStr">
        <is>
          <t>2026-03-01</t>
        </is>
      </c>
      <c r="B2" t="inlineStr">
        <is>
          <t>B001</t>
        </is>
      </c>
      <c r="C2" t="inlineStr">
        <is>
          <t>M001</t>
        </is>
      </c>
      <c r="D2" t="n">
        <v>2</v>
      </c>
      <c r="E2">
        <f>D2*XLOOKUP(B2,Batches!A:A,Batches!D:D)</f>
        <v/>
      </c>
      <c r="F2" t="inlineStr">
        <is>
          <t>Cash</t>
        </is>
      </c>
      <c r="G2" t="inlineStr"/>
    </row>
    <row r="3">
      <c r="A3" t="inlineStr">
        <is>
          <t>2026-03-01</t>
        </is>
      </c>
      <c r="B3" t="inlineStr">
        <is>
          <t>B001</t>
        </is>
      </c>
      <c r="C3" t="inlineStr">
        <is>
          <t>M002</t>
        </is>
      </c>
      <c r="D3" t="n">
        <v>1</v>
      </c>
      <c r="E3">
        <f>D3*XLOOKUP(B3,Batches!A:A,Batches!D:D)</f>
        <v/>
      </c>
      <c r="F3" t="inlineStr">
        <is>
          <t>Cash</t>
        </is>
      </c>
      <c r="G3" t="inlineStr"/>
    </row>
    <row r="4">
      <c r="E4">
        <f>IF(OR(B4="",D4=""),"",D4*XLOOKUP(B4,Batches!A:A,Batches!D:D))</f>
        <v/>
      </c>
    </row>
    <row r="5">
      <c r="E5">
        <f>IF(OR(B5="",D5=""),"",D5*XLOOKUP(B5,Batches!A:A,Batches!D:D))</f>
        <v/>
      </c>
    </row>
    <row r="6">
      <c r="E6">
        <f>IF(OR(B6="",D6=""),"",D6*XLOOKUP(B6,Batches!A:A,Batches!D:D))</f>
        <v/>
      </c>
    </row>
    <row r="7">
      <c r="E7">
        <f>IF(OR(B7="",D7=""),"",D7*XLOOKUP(B7,Batches!A:A,Batches!D:D))</f>
        <v/>
      </c>
    </row>
    <row r="8">
      <c r="E8">
        <f>IF(OR(B8="",D8=""),"",D8*XLOOKUP(B8,Batches!A:A,Batches!D:D))</f>
        <v/>
      </c>
    </row>
    <row r="9">
      <c r="E9">
        <f>IF(OR(B9="",D9=""),"",D9*XLOOKUP(B9,Batches!A:A,Batches!D:D))</f>
        <v/>
      </c>
    </row>
    <row r="10">
      <c r="E10">
        <f>IF(OR(B10="",D10=""),"",D10*XLOOKUP(B10,Batches!A:A,Batches!D:D))</f>
        <v/>
      </c>
    </row>
    <row r="11">
      <c r="E11">
        <f>IF(OR(B11="",D11=""),"",D11*XLOOKUP(B11,Batches!A:A,Batches!D:D))</f>
        <v/>
      </c>
    </row>
    <row r="12">
      <c r="E12">
        <f>IF(OR(B12="",D12=""),"",D12*XLOOKUP(B12,Batches!A:A,Batches!D:D))</f>
        <v/>
      </c>
    </row>
    <row r="13">
      <c r="E13">
        <f>IF(OR(B13="",D13=""),"",D13*XLOOKUP(B13,Batches!A:A,Batches!D:D))</f>
        <v/>
      </c>
    </row>
    <row r="14">
      <c r="E14">
        <f>IF(OR(B14="",D14=""),"",D14*XLOOKUP(B14,Batches!A:A,Batches!D:D))</f>
        <v/>
      </c>
    </row>
    <row r="15">
      <c r="E15">
        <f>IF(OR(B15="",D15=""),"",D15*XLOOKUP(B15,Batches!A:A,Batches!D:D))</f>
        <v/>
      </c>
    </row>
    <row r="16">
      <c r="E16">
        <f>IF(OR(B16="",D16=""),"",D16*XLOOKUP(B16,Batches!A:A,Batches!D:D))</f>
        <v/>
      </c>
    </row>
    <row r="17">
      <c r="E17">
        <f>IF(OR(B17="",D17=""),"",D17*XLOOKUP(B17,Batches!A:A,Batches!D:D))</f>
        <v/>
      </c>
    </row>
    <row r="18">
      <c r="E18">
        <f>IF(OR(B18="",D18=""),"",D18*XLOOKUP(B18,Batches!A:A,Batches!D:D))</f>
        <v/>
      </c>
    </row>
    <row r="19">
      <c r="E19">
        <f>IF(OR(B19="",D19=""),"",D19*XLOOKUP(B19,Batches!A:A,Batches!D:D))</f>
        <v/>
      </c>
    </row>
    <row r="20">
      <c r="E20">
        <f>IF(OR(B20="",D20=""),"",D20*XLOOKUP(B20,Batches!A:A,Batches!D:D))</f>
        <v/>
      </c>
    </row>
    <row r="21">
      <c r="E21">
        <f>IF(OR(B21="",D21=""),"",D21*XLOOKUP(B21,Batches!A:A,Batches!D:D))</f>
        <v/>
      </c>
    </row>
    <row r="22">
      <c r="E22">
        <f>IF(OR(B22="",D22=""),"",D22*XLOOKUP(B22,Batches!A:A,Batches!D:D))</f>
        <v/>
      </c>
    </row>
    <row r="23">
      <c r="E23">
        <f>IF(OR(B23="",D23=""),"",D23*XLOOKUP(B23,Batches!A:A,Batches!D:D))</f>
        <v/>
      </c>
    </row>
    <row r="24">
      <c r="E24">
        <f>IF(OR(B24="",D24=""),"",D24*XLOOKUP(B24,Batches!A:A,Batches!D:D))</f>
        <v/>
      </c>
    </row>
    <row r="25">
      <c r="E25">
        <f>IF(OR(B25="",D25=""),"",D25*XLOOKUP(B25,Batches!A:A,Batches!D:D))</f>
        <v/>
      </c>
    </row>
    <row r="26">
      <c r="E26">
        <f>IF(OR(B26="",D26=""),"",D26*XLOOKUP(B26,Batches!A:A,Batches!D:D))</f>
        <v/>
      </c>
    </row>
    <row r="27">
      <c r="E27">
        <f>IF(OR(B27="",D27=""),"",D27*XLOOKUP(B27,Batches!A:A,Batches!D:D))</f>
        <v/>
      </c>
    </row>
    <row r="28">
      <c r="E28">
        <f>IF(OR(B28="",D28=""),"",D28*XLOOKUP(B28,Batches!A:A,Batches!D:D))</f>
        <v/>
      </c>
    </row>
    <row r="29">
      <c r="E29">
        <f>IF(OR(B29="",D29=""),"",D29*XLOOKUP(B29,Batches!A:A,Batches!D:D))</f>
        <v/>
      </c>
    </row>
    <row r="30">
      <c r="E30">
        <f>IF(OR(B30="",D30=""),"",D30*XLOOKUP(B30,Batches!A:A,Batches!D:D))</f>
        <v/>
      </c>
    </row>
    <row r="31">
      <c r="E31">
        <f>IF(OR(B31="",D31=""),"",D31*XLOOKUP(B31,Batches!A:A,Batches!D:D))</f>
        <v/>
      </c>
    </row>
    <row r="32">
      <c r="E32">
        <f>IF(OR(B32="",D32=""),"",D32*XLOOKUP(B32,Batches!A:A,Batches!D:D))</f>
        <v/>
      </c>
    </row>
    <row r="33">
      <c r="E33">
        <f>IF(OR(B33="",D33=""),"",D33*XLOOKUP(B33,Batches!A:A,Batches!D:D))</f>
        <v/>
      </c>
    </row>
    <row r="34">
      <c r="E34">
        <f>IF(OR(B34="",D34=""),"",D34*XLOOKUP(B34,Batches!A:A,Batches!D:D))</f>
        <v/>
      </c>
    </row>
    <row r="35">
      <c r="E35">
        <f>IF(OR(B35="",D35=""),"",D35*XLOOKUP(B35,Batches!A:A,Batches!D:D))</f>
        <v/>
      </c>
    </row>
    <row r="36">
      <c r="E36">
        <f>IF(OR(B36="",D36=""),"",D36*XLOOKUP(B36,Batches!A:A,Batches!D:D))</f>
        <v/>
      </c>
    </row>
    <row r="37">
      <c r="E37">
        <f>IF(OR(B37="",D37=""),"",D37*XLOOKUP(B37,Batches!A:A,Batches!D:D))</f>
        <v/>
      </c>
    </row>
    <row r="38">
      <c r="E38">
        <f>IF(OR(B38="",D38=""),"",D38*XLOOKUP(B38,Batches!A:A,Batches!D:D))</f>
        <v/>
      </c>
    </row>
    <row r="39">
      <c r="E39">
        <f>IF(OR(B39="",D39=""),"",D39*XLOOKUP(B39,Batches!A:A,Batches!D:D))</f>
        <v/>
      </c>
    </row>
    <row r="40">
      <c r="E40">
        <f>IF(OR(B40="",D40=""),"",D40*XLOOKUP(B40,Batches!A:A,Batches!D:D))</f>
        <v/>
      </c>
    </row>
    <row r="41">
      <c r="E41">
        <f>IF(OR(B41="",D41=""),"",D41*XLOOKUP(B41,Batches!A:A,Batches!D:D))</f>
        <v/>
      </c>
    </row>
    <row r="42">
      <c r="E42">
        <f>IF(OR(B42="",D42=""),"",D42*XLOOKUP(B42,Batches!A:A,Batches!D:D))</f>
        <v/>
      </c>
    </row>
    <row r="43">
      <c r="E43">
        <f>IF(OR(B43="",D43=""),"",D43*XLOOKUP(B43,Batches!A:A,Batches!D:D))</f>
        <v/>
      </c>
    </row>
    <row r="44">
      <c r="E44">
        <f>IF(OR(B44="",D44=""),"",D44*XLOOKUP(B44,Batches!A:A,Batches!D:D))</f>
        <v/>
      </c>
    </row>
    <row r="45">
      <c r="E45">
        <f>IF(OR(B45="",D45=""),"",D45*XLOOKUP(B45,Batches!A:A,Batches!D:D))</f>
        <v/>
      </c>
    </row>
    <row r="46">
      <c r="E46">
        <f>IF(OR(B46="",D46=""),"",D46*XLOOKUP(B46,Batches!A:A,Batches!D:D))</f>
        <v/>
      </c>
    </row>
    <row r="47">
      <c r="E47">
        <f>IF(OR(B47="",D47=""),"",D47*XLOOKUP(B47,Batches!A:A,Batches!D:D))</f>
        <v/>
      </c>
    </row>
    <row r="48">
      <c r="E48">
        <f>IF(OR(B48="",D48=""),"",D48*XLOOKUP(B48,Batches!A:A,Batches!D:D))</f>
        <v/>
      </c>
    </row>
    <row r="49">
      <c r="E49">
        <f>IF(OR(B49="",D49=""),"",D49*XLOOKUP(B49,Batches!A:A,Batches!D:D))</f>
        <v/>
      </c>
    </row>
    <row r="50">
      <c r="E50">
        <f>IF(OR(B50="",D50=""),"",D50*XLOOKUP(B50,Batches!A:A,Batches!D:D))</f>
        <v/>
      </c>
    </row>
    <row r="51">
      <c r="E51">
        <f>IF(OR(B51="",D51=""),"",D51*XLOOKUP(B51,Batches!A:A,Batches!D:D))</f>
        <v/>
      </c>
    </row>
    <row r="52">
      <c r="E52">
        <f>IF(OR(B52="",D52=""),"",D52*XLOOKUP(B52,Batches!A:A,Batches!D:D))</f>
        <v/>
      </c>
    </row>
    <row r="53">
      <c r="E53">
        <f>IF(OR(B53="",D53=""),"",D53*XLOOKUP(B53,Batches!A:A,Batches!D:D))</f>
        <v/>
      </c>
    </row>
    <row r="54">
      <c r="E54">
        <f>IF(OR(B54="",D54=""),"",D54*XLOOKUP(B54,Batches!A:A,Batches!D:D))</f>
        <v/>
      </c>
    </row>
    <row r="55">
      <c r="E55">
        <f>IF(OR(B55="",D55=""),"",D55*XLOOKUP(B55,Batches!A:A,Batches!D:D))</f>
        <v/>
      </c>
    </row>
    <row r="56">
      <c r="E56">
        <f>IF(OR(B56="",D56=""),"",D56*XLOOKUP(B56,Batches!A:A,Batches!D:D))</f>
        <v/>
      </c>
    </row>
    <row r="57">
      <c r="E57">
        <f>IF(OR(B57="",D57=""),"",D57*XLOOKUP(B57,Batches!A:A,Batches!D:D))</f>
        <v/>
      </c>
    </row>
    <row r="58">
      <c r="E58">
        <f>IF(OR(B58="",D58=""),"",D58*XLOOKUP(B58,Batches!A:A,Batches!D:D))</f>
        <v/>
      </c>
    </row>
    <row r="59">
      <c r="E59">
        <f>IF(OR(B59="",D59=""),"",D59*XLOOKUP(B59,Batches!A:A,Batches!D:D))</f>
        <v/>
      </c>
    </row>
    <row r="60">
      <c r="E60">
        <f>IF(OR(B60="",D60=""),"",D60*XLOOKUP(B60,Batches!A:A,Batches!D:D))</f>
        <v/>
      </c>
    </row>
    <row r="61">
      <c r="E61">
        <f>IF(OR(B61="",D61=""),"",D61*XLOOKUP(B61,Batches!A:A,Batches!D:D))</f>
        <v/>
      </c>
    </row>
    <row r="62">
      <c r="E62">
        <f>IF(OR(B62="",D62=""),"",D62*XLOOKUP(B62,Batches!A:A,Batches!D:D))</f>
        <v/>
      </c>
    </row>
    <row r="63">
      <c r="E63">
        <f>IF(OR(B63="",D63=""),"",D63*XLOOKUP(B63,Batches!A:A,Batches!D:D))</f>
        <v/>
      </c>
    </row>
    <row r="64">
      <c r="E64">
        <f>IF(OR(B64="",D64=""),"",D64*XLOOKUP(B64,Batches!A:A,Batches!D:D))</f>
        <v/>
      </c>
    </row>
    <row r="65">
      <c r="E65">
        <f>IF(OR(B65="",D65=""),"",D65*XLOOKUP(B65,Batches!A:A,Batches!D:D))</f>
        <v/>
      </c>
    </row>
    <row r="66">
      <c r="E66">
        <f>IF(OR(B66="",D66=""),"",D66*XLOOKUP(B66,Batches!A:A,Batches!D:D))</f>
        <v/>
      </c>
    </row>
    <row r="67">
      <c r="E67">
        <f>IF(OR(B67="",D67=""),"",D67*XLOOKUP(B67,Batches!A:A,Batches!D:D))</f>
        <v/>
      </c>
    </row>
    <row r="68">
      <c r="E68">
        <f>IF(OR(B68="",D68=""),"",D68*XLOOKUP(B68,Batches!A:A,Batches!D:D))</f>
        <v/>
      </c>
    </row>
    <row r="69">
      <c r="E69">
        <f>IF(OR(B69="",D69=""),"",D69*XLOOKUP(B69,Batches!A:A,Batches!D:D))</f>
        <v/>
      </c>
    </row>
    <row r="70">
      <c r="E70">
        <f>IF(OR(B70="",D70=""),"",D70*XLOOKUP(B70,Batches!A:A,Batches!D:D))</f>
        <v/>
      </c>
    </row>
    <row r="71">
      <c r="E71">
        <f>IF(OR(B71="",D71=""),"",D71*XLOOKUP(B71,Batches!A:A,Batches!D:D))</f>
        <v/>
      </c>
    </row>
    <row r="72">
      <c r="E72">
        <f>IF(OR(B72="",D72=""),"",D72*XLOOKUP(B72,Batches!A:A,Batches!D:D))</f>
        <v/>
      </c>
    </row>
    <row r="73">
      <c r="E73">
        <f>IF(OR(B73="",D73=""),"",D73*XLOOKUP(B73,Batches!A:A,Batches!D:D))</f>
        <v/>
      </c>
    </row>
    <row r="74">
      <c r="E74">
        <f>IF(OR(B74="",D74=""),"",D74*XLOOKUP(B74,Batches!A:A,Batches!D:D))</f>
        <v/>
      </c>
    </row>
    <row r="75">
      <c r="E75">
        <f>IF(OR(B75="",D75=""),"",D75*XLOOKUP(B75,Batches!A:A,Batches!D:D))</f>
        <v/>
      </c>
    </row>
    <row r="76">
      <c r="E76">
        <f>IF(OR(B76="",D76=""),"",D76*XLOOKUP(B76,Batches!A:A,Batches!D:D))</f>
        <v/>
      </c>
    </row>
    <row r="77">
      <c r="E77">
        <f>IF(OR(B77="",D77=""),"",D77*XLOOKUP(B77,Batches!A:A,Batches!D:D))</f>
        <v/>
      </c>
    </row>
    <row r="78">
      <c r="E78">
        <f>IF(OR(B78="",D78=""),"",D78*XLOOKUP(B78,Batches!A:A,Batches!D:D))</f>
        <v/>
      </c>
    </row>
    <row r="79">
      <c r="E79">
        <f>IF(OR(B79="",D79=""),"",D79*XLOOKUP(B79,Batches!A:A,Batches!D:D))</f>
        <v/>
      </c>
    </row>
    <row r="80">
      <c r="E80">
        <f>IF(OR(B80="",D80=""),"",D80*XLOOKUP(B80,Batches!A:A,Batches!D:D))</f>
        <v/>
      </c>
    </row>
    <row r="81">
      <c r="E81">
        <f>IF(OR(B81="",D81=""),"",D81*XLOOKUP(B81,Batches!A:A,Batches!D:D))</f>
        <v/>
      </c>
    </row>
    <row r="82">
      <c r="E82">
        <f>IF(OR(B82="",D82=""),"",D82*XLOOKUP(B82,Batches!A:A,Batches!D:D))</f>
        <v/>
      </c>
    </row>
    <row r="83">
      <c r="E83">
        <f>IF(OR(B83="",D83=""),"",D83*XLOOKUP(B83,Batches!A:A,Batches!D:D))</f>
        <v/>
      </c>
    </row>
    <row r="84">
      <c r="E84">
        <f>IF(OR(B84="",D84=""),"",D84*XLOOKUP(B84,Batches!A:A,Batches!D:D))</f>
        <v/>
      </c>
    </row>
    <row r="85">
      <c r="E85">
        <f>IF(OR(B85="",D85=""),"",D85*XLOOKUP(B85,Batches!A:A,Batches!D:D))</f>
        <v/>
      </c>
    </row>
    <row r="86">
      <c r="E86">
        <f>IF(OR(B86="",D86=""),"",D86*XLOOKUP(B86,Batches!A:A,Batches!D:D))</f>
        <v/>
      </c>
    </row>
    <row r="87">
      <c r="E87">
        <f>IF(OR(B87="",D87=""),"",D87*XLOOKUP(B87,Batches!A:A,Batches!D:D))</f>
        <v/>
      </c>
    </row>
    <row r="88">
      <c r="E88">
        <f>IF(OR(B88="",D88=""),"",D88*XLOOKUP(B88,Batches!A:A,Batches!D:D))</f>
        <v/>
      </c>
    </row>
    <row r="89">
      <c r="E89">
        <f>IF(OR(B89="",D89=""),"",D89*XLOOKUP(B89,Batches!A:A,Batches!D:D))</f>
        <v/>
      </c>
    </row>
    <row r="90">
      <c r="E90">
        <f>IF(OR(B90="",D90=""),"",D90*XLOOKUP(B90,Batches!A:A,Batches!D:D))</f>
        <v/>
      </c>
    </row>
    <row r="91">
      <c r="E91">
        <f>IF(OR(B91="",D91=""),"",D91*XLOOKUP(B91,Batches!A:A,Batches!D:D))</f>
        <v/>
      </c>
    </row>
    <row r="92">
      <c r="E92">
        <f>IF(OR(B92="",D92=""),"",D92*XLOOKUP(B92,Batches!A:A,Batches!D:D))</f>
        <v/>
      </c>
    </row>
    <row r="93">
      <c r="E93">
        <f>IF(OR(B93="",D93=""),"",D93*XLOOKUP(B93,Batches!A:A,Batches!D:D))</f>
        <v/>
      </c>
    </row>
    <row r="94">
      <c r="E94">
        <f>IF(OR(B94="",D94=""),"",D94*XLOOKUP(B94,Batches!A:A,Batches!D:D))</f>
        <v/>
      </c>
    </row>
    <row r="95">
      <c r="E95">
        <f>IF(OR(B95="",D95=""),"",D95*XLOOKUP(B95,Batches!A:A,Batches!D:D))</f>
        <v/>
      </c>
    </row>
    <row r="96">
      <c r="E96">
        <f>IF(OR(B96="",D96=""),"",D96*XLOOKUP(B96,Batches!A:A,Batches!D:D))</f>
        <v/>
      </c>
    </row>
    <row r="97">
      <c r="E97">
        <f>IF(OR(B97="",D97=""),"",D97*XLOOKUP(B97,Batches!A:A,Batches!D:D))</f>
        <v/>
      </c>
    </row>
    <row r="98">
      <c r="E98">
        <f>IF(OR(B98="",D98=""),"",D98*XLOOKUP(B98,Batches!A:A,Batches!D:D))</f>
        <v/>
      </c>
    </row>
    <row r="99">
      <c r="E99">
        <f>IF(OR(B99="",D99=""),"",D99*XLOOKUP(B99,Batches!A:A,Batches!D:D))</f>
        <v/>
      </c>
    </row>
    <row r="100">
      <c r="E100">
        <f>IF(OR(B100="",D100=""),"",D100*XLOOKUP(B100,Batches!A:A,Batches!D:D))</f>
        <v/>
      </c>
    </row>
    <row r="101">
      <c r="E101">
        <f>IF(OR(B101="",D101=""),"",D101*XLOOKUP(B101,Batches!A:A,Batches!D:D))</f>
        <v/>
      </c>
    </row>
    <row r="102">
      <c r="E102">
        <f>IF(OR(B102="",D102=""),"",D102*XLOOKUP(B102,Batches!A:A,Batches!D:D))</f>
        <v/>
      </c>
    </row>
    <row r="103">
      <c r="E103">
        <f>IF(OR(B103="",D103=""),"",D103*XLOOKUP(B103,Batches!A:A,Batches!D:D))</f>
        <v/>
      </c>
    </row>
    <row r="104">
      <c r="E104">
        <f>IF(OR(B104="",D104=""),"",D104*XLOOKUP(B104,Batches!A:A,Batches!D:D))</f>
        <v/>
      </c>
    </row>
    <row r="105">
      <c r="E105">
        <f>IF(OR(B105="",D105=""),"",D105*XLOOKUP(B105,Batches!A:A,Batches!D:D))</f>
        <v/>
      </c>
    </row>
    <row r="106">
      <c r="E106">
        <f>IF(OR(B106="",D106=""),"",D106*XLOOKUP(B106,Batches!A:A,Batches!D:D))</f>
        <v/>
      </c>
    </row>
    <row r="107">
      <c r="E107">
        <f>IF(OR(B107="",D107=""),"",D107*XLOOKUP(B107,Batches!A:A,Batches!D:D))</f>
        <v/>
      </c>
    </row>
    <row r="108">
      <c r="E108">
        <f>IF(OR(B108="",D108=""),"",D108*XLOOKUP(B108,Batches!A:A,Batches!D:D))</f>
        <v/>
      </c>
    </row>
    <row r="109">
      <c r="E109">
        <f>IF(OR(B109="",D109=""),"",D109*XLOOKUP(B109,Batches!A:A,Batches!D:D))</f>
        <v/>
      </c>
    </row>
    <row r="110">
      <c r="E110">
        <f>IF(OR(B110="",D110=""),"",D110*XLOOKUP(B110,Batches!A:A,Batches!D:D))</f>
        <v/>
      </c>
    </row>
    <row r="111">
      <c r="E111">
        <f>IF(OR(B111="",D111=""),"",D111*XLOOKUP(B111,Batches!A:A,Batches!D:D))</f>
        <v/>
      </c>
    </row>
    <row r="112">
      <c r="E112">
        <f>IF(OR(B112="",D112=""),"",D112*XLOOKUP(B112,Batches!A:A,Batches!D:D))</f>
        <v/>
      </c>
    </row>
    <row r="113">
      <c r="E113">
        <f>IF(OR(B113="",D113=""),"",D113*XLOOKUP(B113,Batches!A:A,Batches!D:D))</f>
        <v/>
      </c>
    </row>
    <row r="114">
      <c r="E114">
        <f>IF(OR(B114="",D114=""),"",D114*XLOOKUP(B114,Batches!A:A,Batches!D:D))</f>
        <v/>
      </c>
    </row>
    <row r="115">
      <c r="E115">
        <f>IF(OR(B115="",D115=""),"",D115*XLOOKUP(B115,Batches!A:A,Batches!D:D))</f>
        <v/>
      </c>
    </row>
    <row r="116">
      <c r="E116">
        <f>IF(OR(B116="",D116=""),"",D116*XLOOKUP(B116,Batches!A:A,Batches!D:D))</f>
        <v/>
      </c>
    </row>
    <row r="117">
      <c r="E117">
        <f>IF(OR(B117="",D117=""),"",D117*XLOOKUP(B117,Batches!A:A,Batches!D:D))</f>
        <v/>
      </c>
    </row>
    <row r="118">
      <c r="E118">
        <f>IF(OR(B118="",D118=""),"",D118*XLOOKUP(B118,Batches!A:A,Batches!D:D))</f>
        <v/>
      </c>
    </row>
    <row r="119">
      <c r="E119">
        <f>IF(OR(B119="",D119=""),"",D119*XLOOKUP(B119,Batches!A:A,Batches!D:D))</f>
        <v/>
      </c>
    </row>
    <row r="120">
      <c r="E120">
        <f>IF(OR(B120="",D120=""),"",D120*XLOOKUP(B120,Batches!A:A,Batches!D:D))</f>
        <v/>
      </c>
    </row>
    <row r="121">
      <c r="E121">
        <f>IF(OR(B121="",D121=""),"",D121*XLOOKUP(B121,Batches!A:A,Batches!D:D))</f>
        <v/>
      </c>
    </row>
    <row r="122">
      <c r="E122">
        <f>IF(OR(B122="",D122=""),"",D122*XLOOKUP(B122,Batches!A:A,Batches!D:D))</f>
        <v/>
      </c>
    </row>
    <row r="123">
      <c r="E123">
        <f>IF(OR(B123="",D123=""),"",D123*XLOOKUP(B123,Batches!A:A,Batches!D:D))</f>
        <v/>
      </c>
    </row>
    <row r="124">
      <c r="E124">
        <f>IF(OR(B124="",D124=""),"",D124*XLOOKUP(B124,Batches!A:A,Batches!D:D))</f>
        <v/>
      </c>
    </row>
    <row r="125">
      <c r="E125">
        <f>IF(OR(B125="",D125=""),"",D125*XLOOKUP(B125,Batches!A:A,Batches!D:D))</f>
        <v/>
      </c>
    </row>
    <row r="126">
      <c r="E126">
        <f>IF(OR(B126="",D126=""),"",D126*XLOOKUP(B126,Batches!A:A,Batches!D:D))</f>
        <v/>
      </c>
    </row>
    <row r="127">
      <c r="E127">
        <f>IF(OR(B127="",D127=""),"",D127*XLOOKUP(B127,Batches!A:A,Batches!D:D))</f>
        <v/>
      </c>
    </row>
    <row r="128">
      <c r="E128">
        <f>IF(OR(B128="",D128=""),"",D128*XLOOKUP(B128,Batches!A:A,Batches!D:D))</f>
        <v/>
      </c>
    </row>
    <row r="129">
      <c r="E129">
        <f>IF(OR(B129="",D129=""),"",D129*XLOOKUP(B129,Batches!A:A,Batches!D:D))</f>
        <v/>
      </c>
    </row>
    <row r="130">
      <c r="E130">
        <f>IF(OR(B130="",D130=""),"",D130*XLOOKUP(B130,Batches!A:A,Batches!D:D))</f>
        <v/>
      </c>
    </row>
    <row r="131">
      <c r="E131">
        <f>IF(OR(B131="",D131=""),"",D131*XLOOKUP(B131,Batches!A:A,Batches!D:D))</f>
        <v/>
      </c>
    </row>
    <row r="132">
      <c r="E132">
        <f>IF(OR(B132="",D132=""),"",D132*XLOOKUP(B132,Batches!A:A,Batches!D:D))</f>
        <v/>
      </c>
    </row>
    <row r="133">
      <c r="E133">
        <f>IF(OR(B133="",D133=""),"",D133*XLOOKUP(B133,Batches!A:A,Batches!D:D))</f>
        <v/>
      </c>
    </row>
    <row r="134">
      <c r="E134">
        <f>IF(OR(B134="",D134=""),"",D134*XLOOKUP(B134,Batches!A:A,Batches!D:D))</f>
        <v/>
      </c>
    </row>
    <row r="135">
      <c r="E135">
        <f>IF(OR(B135="",D135=""),"",D135*XLOOKUP(B135,Batches!A:A,Batches!D:D))</f>
        <v/>
      </c>
    </row>
    <row r="136">
      <c r="E136">
        <f>IF(OR(B136="",D136=""),"",D136*XLOOKUP(B136,Batches!A:A,Batches!D:D))</f>
        <v/>
      </c>
    </row>
    <row r="137">
      <c r="E137">
        <f>IF(OR(B137="",D137=""),"",D137*XLOOKUP(B137,Batches!A:A,Batches!D:D))</f>
        <v/>
      </c>
    </row>
    <row r="138">
      <c r="E138">
        <f>IF(OR(B138="",D138=""),"",D138*XLOOKUP(B138,Batches!A:A,Batches!D:D))</f>
        <v/>
      </c>
    </row>
    <row r="139">
      <c r="E139">
        <f>IF(OR(B139="",D139=""),"",D139*XLOOKUP(B139,Batches!A:A,Batches!D:D))</f>
        <v/>
      </c>
    </row>
    <row r="140">
      <c r="E140">
        <f>IF(OR(B140="",D140=""),"",D140*XLOOKUP(B140,Batches!A:A,Batches!D:D))</f>
        <v/>
      </c>
    </row>
    <row r="141">
      <c r="E141">
        <f>IF(OR(B141="",D141=""),"",D141*XLOOKUP(B141,Batches!A:A,Batches!D:D))</f>
        <v/>
      </c>
    </row>
    <row r="142">
      <c r="E142">
        <f>IF(OR(B142="",D142=""),"",D142*XLOOKUP(B142,Batches!A:A,Batches!D:D))</f>
        <v/>
      </c>
    </row>
    <row r="143">
      <c r="E143">
        <f>IF(OR(B143="",D143=""),"",D143*XLOOKUP(B143,Batches!A:A,Batches!D:D))</f>
        <v/>
      </c>
    </row>
    <row r="144">
      <c r="E144">
        <f>IF(OR(B144="",D144=""),"",D144*XLOOKUP(B144,Batches!A:A,Batches!D:D))</f>
        <v/>
      </c>
    </row>
    <row r="145">
      <c r="E145">
        <f>IF(OR(B145="",D145=""),"",D145*XLOOKUP(B145,Batches!A:A,Batches!D:D))</f>
        <v/>
      </c>
    </row>
    <row r="146">
      <c r="E146">
        <f>IF(OR(B146="",D146=""),"",D146*XLOOKUP(B146,Batches!A:A,Batches!D:D))</f>
        <v/>
      </c>
    </row>
    <row r="147">
      <c r="E147">
        <f>IF(OR(B147="",D147=""),"",D147*XLOOKUP(B147,Batches!A:A,Batches!D:D))</f>
        <v/>
      </c>
    </row>
    <row r="148">
      <c r="E148">
        <f>IF(OR(B148="",D148=""),"",D148*XLOOKUP(B148,Batches!A:A,Batches!D:D))</f>
        <v/>
      </c>
    </row>
    <row r="149">
      <c r="E149">
        <f>IF(OR(B149="",D149=""),"",D149*XLOOKUP(B149,Batches!A:A,Batches!D:D))</f>
        <v/>
      </c>
    </row>
    <row r="150">
      <c r="E150">
        <f>IF(OR(B150="",D150=""),"",D150*XLOOKUP(B150,Batches!A:A,Batches!D:D))</f>
        <v/>
      </c>
    </row>
    <row r="151">
      <c r="E151">
        <f>IF(OR(B151="",D151=""),"",D151*XLOOKUP(B151,Batches!A:A,Batches!D:D))</f>
        <v/>
      </c>
    </row>
    <row r="152">
      <c r="E152">
        <f>IF(OR(B152="",D152=""),"",D152*XLOOKUP(B152,Batches!A:A,Batches!D:D))</f>
        <v/>
      </c>
    </row>
    <row r="153">
      <c r="E153">
        <f>IF(OR(B153="",D153=""),"",D153*XLOOKUP(B153,Batches!A:A,Batches!D:D))</f>
        <v/>
      </c>
    </row>
    <row r="154">
      <c r="E154">
        <f>IF(OR(B154="",D154=""),"",D154*XLOOKUP(B154,Batches!A:A,Batches!D:D))</f>
        <v/>
      </c>
    </row>
    <row r="155">
      <c r="E155">
        <f>IF(OR(B155="",D155=""),"",D155*XLOOKUP(B155,Batches!A:A,Batches!D:D))</f>
        <v/>
      </c>
    </row>
    <row r="156">
      <c r="E156">
        <f>IF(OR(B156="",D156=""),"",D156*XLOOKUP(B156,Batches!A:A,Batches!D:D))</f>
        <v/>
      </c>
    </row>
    <row r="157">
      <c r="E157">
        <f>IF(OR(B157="",D157=""),"",D157*XLOOKUP(B157,Batches!A:A,Batches!D:D))</f>
        <v/>
      </c>
    </row>
    <row r="158">
      <c r="E158">
        <f>IF(OR(B158="",D158=""),"",D158*XLOOKUP(B158,Batches!A:A,Batches!D:D))</f>
        <v/>
      </c>
    </row>
    <row r="159">
      <c r="E159">
        <f>IF(OR(B159="",D159=""),"",D159*XLOOKUP(B159,Batches!A:A,Batches!D:D))</f>
        <v/>
      </c>
    </row>
    <row r="160">
      <c r="E160">
        <f>IF(OR(B160="",D160=""),"",D160*XLOOKUP(B160,Batches!A:A,Batches!D:D))</f>
        <v/>
      </c>
    </row>
    <row r="161">
      <c r="E161">
        <f>IF(OR(B161="",D161=""),"",D161*XLOOKUP(B161,Batches!A:A,Batches!D:D))</f>
        <v/>
      </c>
    </row>
    <row r="162">
      <c r="E162">
        <f>IF(OR(B162="",D162=""),"",D162*XLOOKUP(B162,Batches!A:A,Batches!D:D))</f>
        <v/>
      </c>
    </row>
    <row r="163">
      <c r="E163">
        <f>IF(OR(B163="",D163=""),"",D163*XLOOKUP(B163,Batches!A:A,Batches!D:D))</f>
        <v/>
      </c>
    </row>
    <row r="164">
      <c r="E164">
        <f>IF(OR(B164="",D164=""),"",D164*XLOOKUP(B164,Batches!A:A,Batches!D:D))</f>
        <v/>
      </c>
    </row>
    <row r="165">
      <c r="E165">
        <f>IF(OR(B165="",D165=""),"",D165*XLOOKUP(B165,Batches!A:A,Batches!D:D))</f>
        <v/>
      </c>
    </row>
    <row r="166">
      <c r="E166">
        <f>IF(OR(B166="",D166=""),"",D166*XLOOKUP(B166,Batches!A:A,Batches!D:D))</f>
        <v/>
      </c>
    </row>
    <row r="167">
      <c r="E167">
        <f>IF(OR(B167="",D167=""),"",D167*XLOOKUP(B167,Batches!A:A,Batches!D:D))</f>
        <v/>
      </c>
    </row>
    <row r="168">
      <c r="E168">
        <f>IF(OR(B168="",D168=""),"",D168*XLOOKUP(B168,Batches!A:A,Batches!D:D))</f>
        <v/>
      </c>
    </row>
    <row r="169">
      <c r="E169">
        <f>IF(OR(B169="",D169=""),"",D169*XLOOKUP(B169,Batches!A:A,Batches!D:D))</f>
        <v/>
      </c>
    </row>
    <row r="170">
      <c r="E170">
        <f>IF(OR(B170="",D170=""),"",D170*XLOOKUP(B170,Batches!A:A,Batches!D:D))</f>
        <v/>
      </c>
    </row>
    <row r="171">
      <c r="E171">
        <f>IF(OR(B171="",D171=""),"",D171*XLOOKUP(B171,Batches!A:A,Batches!D:D))</f>
        <v/>
      </c>
    </row>
    <row r="172">
      <c r="E172">
        <f>IF(OR(B172="",D172=""),"",D172*XLOOKUP(B172,Batches!A:A,Batches!D:D))</f>
        <v/>
      </c>
    </row>
    <row r="173">
      <c r="E173">
        <f>IF(OR(B173="",D173=""),"",D173*XLOOKUP(B173,Batches!A:A,Batches!D:D))</f>
        <v/>
      </c>
    </row>
    <row r="174">
      <c r="E174">
        <f>IF(OR(B174="",D174=""),"",D174*XLOOKUP(B174,Batches!A:A,Batches!D:D))</f>
        <v/>
      </c>
    </row>
    <row r="175">
      <c r="E175">
        <f>IF(OR(B175="",D175=""),"",D175*XLOOKUP(B175,Batches!A:A,Batches!D:D))</f>
        <v/>
      </c>
    </row>
    <row r="176">
      <c r="E176">
        <f>IF(OR(B176="",D176=""),"",D176*XLOOKUP(B176,Batches!A:A,Batches!D:D))</f>
        <v/>
      </c>
    </row>
    <row r="177">
      <c r="E177">
        <f>IF(OR(B177="",D177=""),"",D177*XLOOKUP(B177,Batches!A:A,Batches!D:D))</f>
        <v/>
      </c>
    </row>
    <row r="178">
      <c r="E178">
        <f>IF(OR(B178="",D178=""),"",D178*XLOOKUP(B178,Batches!A:A,Batches!D:D))</f>
        <v/>
      </c>
    </row>
    <row r="179">
      <c r="E179">
        <f>IF(OR(B179="",D179=""),"",D179*XLOOKUP(B179,Batches!A:A,Batches!D:D))</f>
        <v/>
      </c>
    </row>
    <row r="180">
      <c r="E180">
        <f>IF(OR(B180="",D180=""),"",D180*XLOOKUP(B180,Batches!A:A,Batches!D:D))</f>
        <v/>
      </c>
    </row>
    <row r="181">
      <c r="E181">
        <f>IF(OR(B181="",D181=""),"",D181*XLOOKUP(B181,Batches!A:A,Batches!D:D))</f>
        <v/>
      </c>
    </row>
    <row r="182">
      <c r="E182">
        <f>IF(OR(B182="",D182=""),"",D182*XLOOKUP(B182,Batches!A:A,Batches!D:D))</f>
        <v/>
      </c>
    </row>
    <row r="183">
      <c r="E183">
        <f>IF(OR(B183="",D183=""),"",D183*XLOOKUP(B183,Batches!A:A,Batches!D:D))</f>
        <v/>
      </c>
    </row>
    <row r="184">
      <c r="E184">
        <f>IF(OR(B184="",D184=""),"",D184*XLOOKUP(B184,Batches!A:A,Batches!D:D))</f>
        <v/>
      </c>
    </row>
    <row r="185">
      <c r="E185">
        <f>IF(OR(B185="",D185=""),"",D185*XLOOKUP(B185,Batches!A:A,Batches!D:D))</f>
        <v/>
      </c>
    </row>
    <row r="186">
      <c r="E186">
        <f>IF(OR(B186="",D186=""),"",D186*XLOOKUP(B186,Batches!A:A,Batches!D:D))</f>
        <v/>
      </c>
    </row>
    <row r="187">
      <c r="E187">
        <f>IF(OR(B187="",D187=""),"",D187*XLOOKUP(B187,Batches!A:A,Batches!D:D))</f>
        <v/>
      </c>
    </row>
    <row r="188">
      <c r="E188">
        <f>IF(OR(B188="",D188=""),"",D188*XLOOKUP(B188,Batches!A:A,Batches!D:D))</f>
        <v/>
      </c>
    </row>
    <row r="189">
      <c r="E189">
        <f>IF(OR(B189="",D189=""),"",D189*XLOOKUP(B189,Batches!A:A,Batches!D:D))</f>
        <v/>
      </c>
    </row>
    <row r="190">
      <c r="E190">
        <f>IF(OR(B190="",D190=""),"",D190*XLOOKUP(B190,Batches!A:A,Batches!D:D))</f>
        <v/>
      </c>
    </row>
    <row r="191">
      <c r="E191">
        <f>IF(OR(B191="",D191=""),"",D191*XLOOKUP(B191,Batches!A:A,Batches!D:D))</f>
        <v/>
      </c>
    </row>
    <row r="192">
      <c r="E192">
        <f>IF(OR(B192="",D192=""),"",D192*XLOOKUP(B192,Batches!A:A,Batches!D:D))</f>
        <v/>
      </c>
    </row>
    <row r="193">
      <c r="E193">
        <f>IF(OR(B193="",D193=""),"",D193*XLOOKUP(B193,Batches!A:A,Batches!D:D))</f>
        <v/>
      </c>
    </row>
    <row r="194">
      <c r="E194">
        <f>IF(OR(B194="",D194=""),"",D194*XLOOKUP(B194,Batches!A:A,Batches!D:D))</f>
        <v/>
      </c>
    </row>
    <row r="195">
      <c r="E195">
        <f>IF(OR(B195="",D195=""),"",D195*XLOOKUP(B195,Batches!A:A,Batches!D:D))</f>
        <v/>
      </c>
    </row>
    <row r="196">
      <c r="E196">
        <f>IF(OR(B196="",D196=""),"",D196*XLOOKUP(B196,Batches!A:A,Batches!D:D))</f>
        <v/>
      </c>
    </row>
    <row r="197">
      <c r="E197">
        <f>IF(OR(B197="",D197=""),"",D197*XLOOKUP(B197,Batches!A:A,Batches!D:D))</f>
        <v/>
      </c>
    </row>
    <row r="198">
      <c r="E198">
        <f>IF(OR(B198="",D198=""),"",D198*XLOOKUP(B198,Batches!A:A,Batches!D:D))</f>
        <v/>
      </c>
    </row>
    <row r="199">
      <c r="E199">
        <f>IF(OR(B199="",D199=""),"",D199*XLOOKUP(B199,Batches!A:A,Batches!D:D))</f>
        <v/>
      </c>
    </row>
    <row r="200">
      <c r="E200">
        <f>IF(OR(B200="",D200=""),"",D200*XLOOKUP(B200,Batches!A:A,Batches!D:D))</f>
        <v/>
      </c>
    </row>
    <row r="201">
      <c r="E201">
        <f>IF(OR(B201="",D201=""),"",D201*XLOOKUP(B201,Batches!A:A,Batches!D:D))</f>
        <v/>
      </c>
    </row>
    <row r="202">
      <c r="E202">
        <f>IF(OR(B202="",D202=""),"",D202*XLOOKUP(B202,Batches!A:A,Batches!D:D))</f>
        <v/>
      </c>
    </row>
    <row r="203">
      <c r="E203">
        <f>IF(OR(B203="",D203=""),"",D203*XLOOKUP(B203,Batches!A:A,Batches!D:D))</f>
        <v/>
      </c>
    </row>
    <row r="204">
      <c r="E204">
        <f>IF(OR(B204="",D204=""),"",D204*XLOOKUP(B204,Batches!A:A,Batches!D:D))</f>
        <v/>
      </c>
    </row>
    <row r="205">
      <c r="E205">
        <f>IF(OR(B205="",D205=""),"",D205*XLOOKUP(B205,Batches!A:A,Batches!D:D))</f>
        <v/>
      </c>
    </row>
    <row r="206">
      <c r="E206">
        <f>IF(OR(B206="",D206=""),"",D206*XLOOKUP(B206,Batches!A:A,Batches!D:D))</f>
        <v/>
      </c>
    </row>
    <row r="207">
      <c r="E207">
        <f>IF(OR(B207="",D207=""),"",D207*XLOOKUP(B207,Batches!A:A,Batches!D:D))</f>
        <v/>
      </c>
    </row>
    <row r="208">
      <c r="E208">
        <f>IF(OR(B208="",D208=""),"",D208*XLOOKUP(B208,Batches!A:A,Batches!D:D))</f>
        <v/>
      </c>
    </row>
    <row r="209">
      <c r="E209">
        <f>IF(OR(B209="",D209=""),"",D209*XLOOKUP(B209,Batches!A:A,Batches!D:D))</f>
        <v/>
      </c>
    </row>
    <row r="210">
      <c r="E210">
        <f>IF(OR(B210="",D210=""),"",D210*XLOOKUP(B210,Batches!A:A,Batches!D:D))</f>
        <v/>
      </c>
    </row>
    <row r="211">
      <c r="E211">
        <f>IF(OR(B211="",D211=""),"",D211*XLOOKUP(B211,Batches!A:A,Batches!D:D))</f>
        <v/>
      </c>
    </row>
    <row r="212">
      <c r="E212">
        <f>IF(OR(B212="",D212=""),"",D212*XLOOKUP(B212,Batches!A:A,Batches!D:D))</f>
        <v/>
      </c>
    </row>
    <row r="213">
      <c r="E213">
        <f>IF(OR(B213="",D213=""),"",D213*XLOOKUP(B213,Batches!A:A,Batches!D:D))</f>
        <v/>
      </c>
    </row>
    <row r="214">
      <c r="E214">
        <f>IF(OR(B214="",D214=""),"",D214*XLOOKUP(B214,Batches!A:A,Batches!D:D))</f>
        <v/>
      </c>
    </row>
    <row r="215">
      <c r="E215">
        <f>IF(OR(B215="",D215=""),"",D215*XLOOKUP(B215,Batches!A:A,Batches!D:D))</f>
        <v/>
      </c>
    </row>
    <row r="216">
      <c r="E216">
        <f>IF(OR(B216="",D216=""),"",D216*XLOOKUP(B216,Batches!A:A,Batches!D:D))</f>
        <v/>
      </c>
    </row>
    <row r="217">
      <c r="E217">
        <f>IF(OR(B217="",D217=""),"",D217*XLOOKUP(B217,Batches!A:A,Batches!D:D))</f>
        <v/>
      </c>
    </row>
    <row r="218">
      <c r="E218">
        <f>IF(OR(B218="",D218=""),"",D218*XLOOKUP(B218,Batches!A:A,Batches!D:D))</f>
        <v/>
      </c>
    </row>
    <row r="219">
      <c r="E219">
        <f>IF(OR(B219="",D219=""),"",D219*XLOOKUP(B219,Batches!A:A,Batches!D:D))</f>
        <v/>
      </c>
    </row>
    <row r="220">
      <c r="E220">
        <f>IF(OR(B220="",D220=""),"",D220*XLOOKUP(B220,Batches!A:A,Batches!D:D))</f>
        <v/>
      </c>
    </row>
    <row r="221">
      <c r="E221">
        <f>IF(OR(B221="",D221=""),"",D221*XLOOKUP(B221,Batches!A:A,Batches!D:D))</f>
        <v/>
      </c>
    </row>
    <row r="222">
      <c r="E222">
        <f>IF(OR(B222="",D222=""),"",D222*XLOOKUP(B222,Batches!A:A,Batches!D:D))</f>
        <v/>
      </c>
    </row>
    <row r="223">
      <c r="E223">
        <f>IF(OR(B223="",D223=""),"",D223*XLOOKUP(B223,Batches!A:A,Batches!D:D))</f>
        <v/>
      </c>
    </row>
    <row r="224">
      <c r="E224">
        <f>IF(OR(B224="",D224=""),"",D224*XLOOKUP(B224,Batches!A:A,Batches!D:D))</f>
        <v/>
      </c>
    </row>
    <row r="225">
      <c r="E225">
        <f>IF(OR(B225="",D225=""),"",D225*XLOOKUP(B225,Batches!A:A,Batches!D:D))</f>
        <v/>
      </c>
    </row>
    <row r="226">
      <c r="E226">
        <f>IF(OR(B226="",D226=""),"",D226*XLOOKUP(B226,Batches!A:A,Batches!D:D))</f>
        <v/>
      </c>
    </row>
    <row r="227">
      <c r="E227">
        <f>IF(OR(B227="",D227=""),"",D227*XLOOKUP(B227,Batches!A:A,Batches!D:D))</f>
        <v/>
      </c>
    </row>
    <row r="228">
      <c r="E228">
        <f>IF(OR(B228="",D228=""),"",D228*XLOOKUP(B228,Batches!A:A,Batches!D:D))</f>
        <v/>
      </c>
    </row>
    <row r="229">
      <c r="E229">
        <f>IF(OR(B229="",D229=""),"",D229*XLOOKUP(B229,Batches!A:A,Batches!D:D))</f>
        <v/>
      </c>
    </row>
    <row r="230">
      <c r="E230">
        <f>IF(OR(B230="",D230=""),"",D230*XLOOKUP(B230,Batches!A:A,Batches!D:D))</f>
        <v/>
      </c>
    </row>
    <row r="231">
      <c r="E231">
        <f>IF(OR(B231="",D231=""),"",D231*XLOOKUP(B231,Batches!A:A,Batches!D:D))</f>
        <v/>
      </c>
    </row>
    <row r="232">
      <c r="E232">
        <f>IF(OR(B232="",D232=""),"",D232*XLOOKUP(B232,Batches!A:A,Batches!D:D))</f>
        <v/>
      </c>
    </row>
    <row r="233">
      <c r="E233">
        <f>IF(OR(B233="",D233=""),"",D233*XLOOKUP(B233,Batches!A:A,Batches!D:D))</f>
        <v/>
      </c>
    </row>
    <row r="234">
      <c r="E234">
        <f>IF(OR(B234="",D234=""),"",D234*XLOOKUP(B234,Batches!A:A,Batches!D:D))</f>
        <v/>
      </c>
    </row>
    <row r="235">
      <c r="E235">
        <f>IF(OR(B235="",D235=""),"",D235*XLOOKUP(B235,Batches!A:A,Batches!D:D))</f>
        <v/>
      </c>
    </row>
    <row r="236">
      <c r="E236">
        <f>IF(OR(B236="",D236=""),"",D236*XLOOKUP(B236,Batches!A:A,Batches!D:D))</f>
        <v/>
      </c>
    </row>
    <row r="237">
      <c r="E237">
        <f>IF(OR(B237="",D237=""),"",D237*XLOOKUP(B237,Batches!A:A,Batches!D:D))</f>
        <v/>
      </c>
    </row>
    <row r="238">
      <c r="E238">
        <f>IF(OR(B238="",D238=""),"",D238*XLOOKUP(B238,Batches!A:A,Batches!D:D))</f>
        <v/>
      </c>
    </row>
    <row r="239">
      <c r="E239">
        <f>IF(OR(B239="",D239=""),"",D239*XLOOKUP(B239,Batches!A:A,Batches!D:D))</f>
        <v/>
      </c>
    </row>
    <row r="240">
      <c r="E240">
        <f>IF(OR(B240="",D240=""),"",D240*XLOOKUP(B240,Batches!A:A,Batches!D:D))</f>
        <v/>
      </c>
    </row>
    <row r="241">
      <c r="E241">
        <f>IF(OR(B241="",D241=""),"",D241*XLOOKUP(B241,Batches!A:A,Batches!D:D))</f>
        <v/>
      </c>
    </row>
    <row r="242">
      <c r="E242">
        <f>IF(OR(B242="",D242=""),"",D242*XLOOKUP(B242,Batches!A:A,Batches!D:D))</f>
        <v/>
      </c>
    </row>
    <row r="243">
      <c r="E243">
        <f>IF(OR(B243="",D243=""),"",D243*XLOOKUP(B243,Batches!A:A,Batches!D:D))</f>
        <v/>
      </c>
    </row>
    <row r="244">
      <c r="E244">
        <f>IF(OR(B244="",D244=""),"",D244*XLOOKUP(B244,Batches!A:A,Batches!D:D))</f>
        <v/>
      </c>
    </row>
    <row r="245">
      <c r="E245">
        <f>IF(OR(B245="",D245=""),"",D245*XLOOKUP(B245,Batches!A:A,Batches!D:D))</f>
        <v/>
      </c>
    </row>
    <row r="246">
      <c r="E246">
        <f>IF(OR(B246="",D246=""),"",D246*XLOOKUP(B246,Batches!A:A,Batches!D:D))</f>
        <v/>
      </c>
    </row>
    <row r="247">
      <c r="E247">
        <f>IF(OR(B247="",D247=""),"",D247*XLOOKUP(B247,Batches!A:A,Batches!D:D))</f>
        <v/>
      </c>
    </row>
    <row r="248">
      <c r="E248">
        <f>IF(OR(B248="",D248=""),"",D248*XLOOKUP(B248,Batches!A:A,Batches!D:D))</f>
        <v/>
      </c>
    </row>
    <row r="249">
      <c r="E249">
        <f>IF(OR(B249="",D249=""),"",D249*XLOOKUP(B249,Batches!A:A,Batches!D:D))</f>
        <v/>
      </c>
    </row>
    <row r="250">
      <c r="E250">
        <f>IF(OR(B250="",D250=""),"",D250*XLOOKUP(B250,Batches!A:A,Batches!D:D))</f>
        <v/>
      </c>
    </row>
    <row r="251">
      <c r="E251">
        <f>IF(OR(B251="",D251=""),"",D251*XLOOKUP(B251,Batches!A:A,Batches!D:D))</f>
        <v/>
      </c>
    </row>
    <row r="252">
      <c r="E252">
        <f>IF(OR(B252="",D252=""),"",D252*XLOOKUP(B252,Batches!A:A,Batches!D:D))</f>
        <v/>
      </c>
    </row>
    <row r="253">
      <c r="E253">
        <f>IF(OR(B253="",D253=""),"",D253*XLOOKUP(B253,Batches!A:A,Batches!D:D))</f>
        <v/>
      </c>
    </row>
    <row r="254">
      <c r="E254">
        <f>IF(OR(B254="",D254=""),"",D254*XLOOKUP(B254,Batches!A:A,Batches!D:D))</f>
        <v/>
      </c>
    </row>
    <row r="255">
      <c r="E255">
        <f>IF(OR(B255="",D255=""),"",D255*XLOOKUP(B255,Batches!A:A,Batches!D:D))</f>
        <v/>
      </c>
    </row>
    <row r="256">
      <c r="E256">
        <f>IF(OR(B256="",D256=""),"",D256*XLOOKUP(B256,Batches!A:A,Batches!D:D))</f>
        <v/>
      </c>
    </row>
    <row r="257">
      <c r="E257">
        <f>IF(OR(B257="",D257=""),"",D257*XLOOKUP(B257,Batches!A:A,Batches!D:D))</f>
        <v/>
      </c>
    </row>
    <row r="258">
      <c r="E258">
        <f>IF(OR(B258="",D258=""),"",D258*XLOOKUP(B258,Batches!A:A,Batches!D:D))</f>
        <v/>
      </c>
    </row>
    <row r="259">
      <c r="E259">
        <f>IF(OR(B259="",D259=""),"",D259*XLOOKUP(B259,Batches!A:A,Batches!D:D))</f>
        <v/>
      </c>
    </row>
    <row r="260">
      <c r="E260">
        <f>IF(OR(B260="",D260=""),"",D260*XLOOKUP(B260,Batches!A:A,Batches!D:D))</f>
        <v/>
      </c>
    </row>
    <row r="261">
      <c r="E261">
        <f>IF(OR(B261="",D261=""),"",D261*XLOOKUP(B261,Batches!A:A,Batches!D:D))</f>
        <v/>
      </c>
    </row>
    <row r="262">
      <c r="E262">
        <f>IF(OR(B262="",D262=""),"",D262*XLOOKUP(B262,Batches!A:A,Batches!D:D))</f>
        <v/>
      </c>
    </row>
    <row r="263">
      <c r="E263">
        <f>IF(OR(B263="",D263=""),"",D263*XLOOKUP(B263,Batches!A:A,Batches!D:D))</f>
        <v/>
      </c>
    </row>
    <row r="264">
      <c r="E264">
        <f>IF(OR(B264="",D264=""),"",D264*XLOOKUP(B264,Batches!A:A,Batches!D:D))</f>
        <v/>
      </c>
    </row>
    <row r="265">
      <c r="E265">
        <f>IF(OR(B265="",D265=""),"",D265*XLOOKUP(B265,Batches!A:A,Batches!D:D))</f>
        <v/>
      </c>
    </row>
    <row r="266">
      <c r="E266">
        <f>IF(OR(B266="",D266=""),"",D266*XLOOKUP(B266,Batches!A:A,Batches!D:D))</f>
        <v/>
      </c>
    </row>
    <row r="267">
      <c r="E267">
        <f>IF(OR(B267="",D267=""),"",D267*XLOOKUP(B267,Batches!A:A,Batches!D:D))</f>
        <v/>
      </c>
    </row>
    <row r="268">
      <c r="E268">
        <f>IF(OR(B268="",D268=""),"",D268*XLOOKUP(B268,Batches!A:A,Batches!D:D))</f>
        <v/>
      </c>
    </row>
    <row r="269">
      <c r="E269">
        <f>IF(OR(B269="",D269=""),"",D269*XLOOKUP(B269,Batches!A:A,Batches!D:D))</f>
        <v/>
      </c>
    </row>
    <row r="270">
      <c r="E270">
        <f>IF(OR(B270="",D270=""),"",D270*XLOOKUP(B270,Batches!A:A,Batches!D:D))</f>
        <v/>
      </c>
    </row>
    <row r="271">
      <c r="E271">
        <f>IF(OR(B271="",D271=""),"",D271*XLOOKUP(B271,Batches!A:A,Batches!D:D))</f>
        <v/>
      </c>
    </row>
    <row r="272">
      <c r="E272">
        <f>IF(OR(B272="",D272=""),"",D272*XLOOKUP(B272,Batches!A:A,Batches!D:D))</f>
        <v/>
      </c>
    </row>
    <row r="273">
      <c r="E273">
        <f>IF(OR(B273="",D273=""),"",D273*XLOOKUP(B273,Batches!A:A,Batches!D:D))</f>
        <v/>
      </c>
    </row>
    <row r="274">
      <c r="E274">
        <f>IF(OR(B274="",D274=""),"",D274*XLOOKUP(B274,Batches!A:A,Batches!D:D))</f>
        <v/>
      </c>
    </row>
    <row r="275">
      <c r="E275">
        <f>IF(OR(B275="",D275=""),"",D275*XLOOKUP(B275,Batches!A:A,Batches!D:D))</f>
        <v/>
      </c>
    </row>
    <row r="276">
      <c r="E276">
        <f>IF(OR(B276="",D276=""),"",D276*XLOOKUP(B276,Batches!A:A,Batches!D:D))</f>
        <v/>
      </c>
    </row>
    <row r="277">
      <c r="E277">
        <f>IF(OR(B277="",D277=""),"",D277*XLOOKUP(B277,Batches!A:A,Batches!D:D))</f>
        <v/>
      </c>
    </row>
    <row r="278">
      <c r="E278">
        <f>IF(OR(B278="",D278=""),"",D278*XLOOKUP(B278,Batches!A:A,Batches!D:D))</f>
        <v/>
      </c>
    </row>
    <row r="279">
      <c r="E279">
        <f>IF(OR(B279="",D279=""),"",D279*XLOOKUP(B279,Batches!A:A,Batches!D:D))</f>
        <v/>
      </c>
    </row>
    <row r="280">
      <c r="E280">
        <f>IF(OR(B280="",D280=""),"",D280*XLOOKUP(B280,Batches!A:A,Batches!D:D))</f>
        <v/>
      </c>
    </row>
    <row r="281">
      <c r="E281">
        <f>IF(OR(B281="",D281=""),"",D281*XLOOKUP(B281,Batches!A:A,Batches!D:D))</f>
        <v/>
      </c>
    </row>
    <row r="282">
      <c r="E282">
        <f>IF(OR(B282="",D282=""),"",D282*XLOOKUP(B282,Batches!A:A,Batches!D:D))</f>
        <v/>
      </c>
    </row>
    <row r="283">
      <c r="E283">
        <f>IF(OR(B283="",D283=""),"",D283*XLOOKUP(B283,Batches!A:A,Batches!D:D))</f>
        <v/>
      </c>
    </row>
    <row r="284">
      <c r="E284">
        <f>IF(OR(B284="",D284=""),"",D284*XLOOKUP(B284,Batches!A:A,Batches!D:D))</f>
        <v/>
      </c>
    </row>
    <row r="285">
      <c r="E285">
        <f>IF(OR(B285="",D285=""),"",D285*XLOOKUP(B285,Batches!A:A,Batches!D:D))</f>
        <v/>
      </c>
    </row>
    <row r="286">
      <c r="E286">
        <f>IF(OR(B286="",D286=""),"",D286*XLOOKUP(B286,Batches!A:A,Batches!D:D))</f>
        <v/>
      </c>
    </row>
    <row r="287">
      <c r="E287">
        <f>IF(OR(B287="",D287=""),"",D287*XLOOKUP(B287,Batches!A:A,Batches!D:D))</f>
        <v/>
      </c>
    </row>
    <row r="288">
      <c r="E288">
        <f>IF(OR(B288="",D288=""),"",D288*XLOOKUP(B288,Batches!A:A,Batches!D:D))</f>
        <v/>
      </c>
    </row>
    <row r="289">
      <c r="E289">
        <f>IF(OR(B289="",D289=""),"",D289*XLOOKUP(B289,Batches!A:A,Batches!D:D))</f>
        <v/>
      </c>
    </row>
    <row r="290">
      <c r="E290">
        <f>IF(OR(B290="",D290=""),"",D290*XLOOKUP(B290,Batches!A:A,Batches!D:D))</f>
        <v/>
      </c>
    </row>
    <row r="291">
      <c r="E291">
        <f>IF(OR(B291="",D291=""),"",D291*XLOOKUP(B291,Batches!A:A,Batches!D:D))</f>
        <v/>
      </c>
    </row>
    <row r="292">
      <c r="E292">
        <f>IF(OR(B292="",D292=""),"",D292*XLOOKUP(B292,Batches!A:A,Batches!D:D))</f>
        <v/>
      </c>
    </row>
    <row r="293">
      <c r="E293">
        <f>IF(OR(B293="",D293=""),"",D293*XLOOKUP(B293,Batches!A:A,Batches!D:D))</f>
        <v/>
      </c>
    </row>
    <row r="294">
      <c r="E294">
        <f>IF(OR(B294="",D294=""),"",D294*XLOOKUP(B294,Batches!A:A,Batches!D:D))</f>
        <v/>
      </c>
    </row>
    <row r="295">
      <c r="E295">
        <f>IF(OR(B295="",D295=""),"",D295*XLOOKUP(B295,Batches!A:A,Batches!D:D))</f>
        <v/>
      </c>
    </row>
    <row r="296">
      <c r="E296">
        <f>IF(OR(B296="",D296=""),"",D296*XLOOKUP(B296,Batches!A:A,Batches!D:D))</f>
        <v/>
      </c>
    </row>
    <row r="297">
      <c r="E297">
        <f>IF(OR(B297="",D297=""),"",D297*XLOOKUP(B297,Batches!A:A,Batches!D:D))</f>
        <v/>
      </c>
    </row>
    <row r="298">
      <c r="E298">
        <f>IF(OR(B298="",D298=""),"",D298*XLOOKUP(B298,Batches!A:A,Batches!D:D))</f>
        <v/>
      </c>
    </row>
    <row r="299">
      <c r="E299">
        <f>IF(OR(B299="",D299=""),"",D299*XLOOKUP(B299,Batches!A:A,Batches!D:D))</f>
        <v/>
      </c>
    </row>
    <row r="300">
      <c r="E300">
        <f>IF(OR(B300="",D300=""),"",D300*XLOOKUP(B300,Batches!A:A,Batches!D:D))</f>
        <v/>
      </c>
    </row>
    <row r="301">
      <c r="E301">
        <f>IF(OR(B301="",D301=""),"",D301*XLOOKUP(B301,Batches!A:A,Batches!D:D))</f>
        <v/>
      </c>
    </row>
    <row r="302">
      <c r="E302">
        <f>IF(OR(B302="",D302=""),"",D302*XLOOKUP(B302,Batches!A:A,Batches!D:D))</f>
        <v/>
      </c>
    </row>
    <row r="303">
      <c r="E303">
        <f>IF(OR(B303="",D303=""),"",D303*XLOOKUP(B303,Batches!A:A,Batches!D:D))</f>
        <v/>
      </c>
    </row>
    <row r="304">
      <c r="E304">
        <f>IF(OR(B304="",D304=""),"",D304*XLOOKUP(B304,Batches!A:A,Batches!D:D))</f>
        <v/>
      </c>
    </row>
    <row r="305">
      <c r="E305">
        <f>IF(OR(B305="",D305=""),"",D305*XLOOKUP(B305,Batches!A:A,Batches!D:D))</f>
        <v/>
      </c>
    </row>
    <row r="306">
      <c r="E306">
        <f>IF(OR(B306="",D306=""),"",D306*XLOOKUP(B306,Batches!A:A,Batches!D:D))</f>
        <v/>
      </c>
    </row>
    <row r="307">
      <c r="E307">
        <f>IF(OR(B307="",D307=""),"",D307*XLOOKUP(B307,Batches!A:A,Batches!D:D))</f>
        <v/>
      </c>
    </row>
    <row r="308">
      <c r="E308">
        <f>IF(OR(B308="",D308=""),"",D308*XLOOKUP(B308,Batches!A:A,Batches!D:D))</f>
        <v/>
      </c>
    </row>
    <row r="309">
      <c r="E309">
        <f>IF(OR(B309="",D309=""),"",D309*XLOOKUP(B309,Batches!A:A,Batches!D:D))</f>
        <v/>
      </c>
    </row>
    <row r="310">
      <c r="E310">
        <f>IF(OR(B310="",D310=""),"",D310*XLOOKUP(B310,Batches!A:A,Batches!D:D))</f>
        <v/>
      </c>
    </row>
    <row r="311">
      <c r="E311">
        <f>IF(OR(B311="",D311=""),"",D311*XLOOKUP(B311,Batches!A:A,Batches!D:D))</f>
        <v/>
      </c>
    </row>
    <row r="312">
      <c r="E312">
        <f>IF(OR(B312="",D312=""),"",D312*XLOOKUP(B312,Batches!A:A,Batches!D:D))</f>
        <v/>
      </c>
    </row>
    <row r="313">
      <c r="E313">
        <f>IF(OR(B313="",D313=""),"",D313*XLOOKUP(B313,Batches!A:A,Batches!D:D))</f>
        <v/>
      </c>
    </row>
    <row r="314">
      <c r="E314">
        <f>IF(OR(B314="",D314=""),"",D314*XLOOKUP(B314,Batches!A:A,Batches!D:D))</f>
        <v/>
      </c>
    </row>
    <row r="315">
      <c r="E315">
        <f>IF(OR(B315="",D315=""),"",D315*XLOOKUP(B315,Batches!A:A,Batches!D:D))</f>
        <v/>
      </c>
    </row>
    <row r="316">
      <c r="E316">
        <f>IF(OR(B316="",D316=""),"",D316*XLOOKUP(B316,Batches!A:A,Batches!D:D))</f>
        <v/>
      </c>
    </row>
    <row r="317">
      <c r="E317">
        <f>IF(OR(B317="",D317=""),"",D317*XLOOKUP(B317,Batches!A:A,Batches!D:D))</f>
        <v/>
      </c>
    </row>
    <row r="318">
      <c r="E318">
        <f>IF(OR(B318="",D318=""),"",D318*XLOOKUP(B318,Batches!A:A,Batches!D:D))</f>
        <v/>
      </c>
    </row>
    <row r="319">
      <c r="E319">
        <f>IF(OR(B319="",D319=""),"",D319*XLOOKUP(B319,Batches!A:A,Batches!D:D))</f>
        <v/>
      </c>
    </row>
    <row r="320">
      <c r="E320">
        <f>IF(OR(B320="",D320=""),"",D320*XLOOKUP(B320,Batches!A:A,Batches!D:D))</f>
        <v/>
      </c>
    </row>
    <row r="321">
      <c r="E321">
        <f>IF(OR(B321="",D321=""),"",D321*XLOOKUP(B321,Batches!A:A,Batches!D:D))</f>
        <v/>
      </c>
    </row>
    <row r="322">
      <c r="E322">
        <f>IF(OR(B322="",D322=""),"",D322*XLOOKUP(B322,Batches!A:A,Batches!D:D))</f>
        <v/>
      </c>
    </row>
    <row r="323">
      <c r="E323">
        <f>IF(OR(B323="",D323=""),"",D323*XLOOKUP(B323,Batches!A:A,Batches!D:D))</f>
        <v/>
      </c>
    </row>
    <row r="324">
      <c r="E324">
        <f>IF(OR(B324="",D324=""),"",D324*XLOOKUP(B324,Batches!A:A,Batches!D:D))</f>
        <v/>
      </c>
    </row>
    <row r="325">
      <c r="E325">
        <f>IF(OR(B325="",D325=""),"",D325*XLOOKUP(B325,Batches!A:A,Batches!D:D))</f>
        <v/>
      </c>
    </row>
    <row r="326">
      <c r="E326">
        <f>IF(OR(B326="",D326=""),"",D326*XLOOKUP(B326,Batches!A:A,Batches!D:D))</f>
        <v/>
      </c>
    </row>
    <row r="327">
      <c r="E327">
        <f>IF(OR(B327="",D327=""),"",D327*XLOOKUP(B327,Batches!A:A,Batches!D:D))</f>
        <v/>
      </c>
    </row>
    <row r="328">
      <c r="E328">
        <f>IF(OR(B328="",D328=""),"",D328*XLOOKUP(B328,Batches!A:A,Batches!D:D))</f>
        <v/>
      </c>
    </row>
    <row r="329">
      <c r="E329">
        <f>IF(OR(B329="",D329=""),"",D329*XLOOKUP(B329,Batches!A:A,Batches!D:D))</f>
        <v/>
      </c>
    </row>
    <row r="330">
      <c r="E330">
        <f>IF(OR(B330="",D330=""),"",D330*XLOOKUP(B330,Batches!A:A,Batches!D:D))</f>
        <v/>
      </c>
    </row>
    <row r="331">
      <c r="E331">
        <f>IF(OR(B331="",D331=""),"",D331*XLOOKUP(B331,Batches!A:A,Batches!D:D))</f>
        <v/>
      </c>
    </row>
    <row r="332">
      <c r="E332">
        <f>IF(OR(B332="",D332=""),"",D332*XLOOKUP(B332,Batches!A:A,Batches!D:D))</f>
        <v/>
      </c>
    </row>
    <row r="333">
      <c r="E333">
        <f>IF(OR(B333="",D333=""),"",D333*XLOOKUP(B333,Batches!A:A,Batches!D:D))</f>
        <v/>
      </c>
    </row>
    <row r="334">
      <c r="E334">
        <f>IF(OR(B334="",D334=""),"",D334*XLOOKUP(B334,Batches!A:A,Batches!D:D))</f>
        <v/>
      </c>
    </row>
    <row r="335">
      <c r="E335">
        <f>IF(OR(B335="",D335=""),"",D335*XLOOKUP(B335,Batches!A:A,Batches!D:D))</f>
        <v/>
      </c>
    </row>
    <row r="336">
      <c r="E336">
        <f>IF(OR(B336="",D336=""),"",D336*XLOOKUP(B336,Batches!A:A,Batches!D:D))</f>
        <v/>
      </c>
    </row>
    <row r="337">
      <c r="E337">
        <f>IF(OR(B337="",D337=""),"",D337*XLOOKUP(B337,Batches!A:A,Batches!D:D))</f>
        <v/>
      </c>
    </row>
    <row r="338">
      <c r="E338">
        <f>IF(OR(B338="",D338=""),"",D338*XLOOKUP(B338,Batches!A:A,Batches!D:D))</f>
        <v/>
      </c>
    </row>
    <row r="339">
      <c r="E339">
        <f>IF(OR(B339="",D339=""),"",D339*XLOOKUP(B339,Batches!A:A,Batches!D:D))</f>
        <v/>
      </c>
    </row>
    <row r="340">
      <c r="E340">
        <f>IF(OR(B340="",D340=""),"",D340*XLOOKUP(B340,Batches!A:A,Batches!D:D))</f>
        <v/>
      </c>
    </row>
    <row r="341">
      <c r="E341">
        <f>IF(OR(B341="",D341=""),"",D341*XLOOKUP(B341,Batches!A:A,Batches!D:D))</f>
        <v/>
      </c>
    </row>
    <row r="342">
      <c r="E342">
        <f>IF(OR(B342="",D342=""),"",D342*XLOOKUP(B342,Batches!A:A,Batches!D:D))</f>
        <v/>
      </c>
    </row>
    <row r="343">
      <c r="E343">
        <f>IF(OR(B343="",D343=""),"",D343*XLOOKUP(B343,Batches!A:A,Batches!D:D))</f>
        <v/>
      </c>
    </row>
    <row r="344">
      <c r="E344">
        <f>IF(OR(B344="",D344=""),"",D344*XLOOKUP(B344,Batches!A:A,Batches!D:D))</f>
        <v/>
      </c>
    </row>
    <row r="345">
      <c r="E345">
        <f>IF(OR(B345="",D345=""),"",D345*XLOOKUP(B345,Batches!A:A,Batches!D:D))</f>
        <v/>
      </c>
    </row>
    <row r="346">
      <c r="E346">
        <f>IF(OR(B346="",D346=""),"",D346*XLOOKUP(B346,Batches!A:A,Batches!D:D))</f>
        <v/>
      </c>
    </row>
    <row r="347">
      <c r="E347">
        <f>IF(OR(B347="",D347=""),"",D347*XLOOKUP(B347,Batches!A:A,Batches!D:D))</f>
        <v/>
      </c>
    </row>
    <row r="348">
      <c r="E348">
        <f>IF(OR(B348="",D348=""),"",D348*XLOOKUP(B348,Batches!A:A,Batches!D:D))</f>
        <v/>
      </c>
    </row>
    <row r="349">
      <c r="E349">
        <f>IF(OR(B349="",D349=""),"",D349*XLOOKUP(B349,Batches!A:A,Batches!D:D))</f>
        <v/>
      </c>
    </row>
    <row r="350">
      <c r="E350">
        <f>IF(OR(B350="",D350=""),"",D350*XLOOKUP(B350,Batches!A:A,Batches!D:D))</f>
        <v/>
      </c>
    </row>
    <row r="351">
      <c r="E351">
        <f>IF(OR(B351="",D351=""),"",D351*XLOOKUP(B351,Batches!A:A,Batches!D:D))</f>
        <v/>
      </c>
    </row>
    <row r="352">
      <c r="E352">
        <f>IF(OR(B352="",D352=""),"",D352*XLOOKUP(B352,Batches!A:A,Batches!D:D))</f>
        <v/>
      </c>
    </row>
    <row r="353">
      <c r="E353">
        <f>IF(OR(B353="",D353=""),"",D353*XLOOKUP(B353,Batches!A:A,Batches!D:D))</f>
        <v/>
      </c>
    </row>
    <row r="354">
      <c r="E354">
        <f>IF(OR(B354="",D354=""),"",D354*XLOOKUP(B354,Batches!A:A,Batches!D:D))</f>
        <v/>
      </c>
    </row>
    <row r="355">
      <c r="E355">
        <f>IF(OR(B355="",D355=""),"",D355*XLOOKUP(B355,Batches!A:A,Batches!D:D))</f>
        <v/>
      </c>
    </row>
    <row r="356">
      <c r="E356">
        <f>IF(OR(B356="",D356=""),"",D356*XLOOKUP(B356,Batches!A:A,Batches!D:D))</f>
        <v/>
      </c>
    </row>
    <row r="357">
      <c r="E357">
        <f>IF(OR(B357="",D357=""),"",D357*XLOOKUP(B357,Batches!A:A,Batches!D:D))</f>
        <v/>
      </c>
    </row>
    <row r="358">
      <c r="E358">
        <f>IF(OR(B358="",D358=""),"",D358*XLOOKUP(B358,Batches!A:A,Batches!D:D))</f>
        <v/>
      </c>
    </row>
    <row r="359">
      <c r="E359">
        <f>IF(OR(B359="",D359=""),"",D359*XLOOKUP(B359,Batches!A:A,Batches!D:D))</f>
        <v/>
      </c>
    </row>
    <row r="360">
      <c r="E360">
        <f>IF(OR(B360="",D360=""),"",D360*XLOOKUP(B360,Batches!A:A,Batches!D:D))</f>
        <v/>
      </c>
    </row>
    <row r="361">
      <c r="E361">
        <f>IF(OR(B361="",D361=""),"",D361*XLOOKUP(B361,Batches!A:A,Batches!D:D))</f>
        <v/>
      </c>
    </row>
    <row r="362">
      <c r="E362">
        <f>IF(OR(B362="",D362=""),"",D362*XLOOKUP(B362,Batches!A:A,Batches!D:D))</f>
        <v/>
      </c>
    </row>
    <row r="363">
      <c r="E363">
        <f>IF(OR(B363="",D363=""),"",D363*XLOOKUP(B363,Batches!A:A,Batches!D:D))</f>
        <v/>
      </c>
    </row>
    <row r="364">
      <c r="E364">
        <f>IF(OR(B364="",D364=""),"",D364*XLOOKUP(B364,Batches!A:A,Batches!D:D))</f>
        <v/>
      </c>
    </row>
    <row r="365">
      <c r="E365">
        <f>IF(OR(B365="",D365=""),"",D365*XLOOKUP(B365,Batches!A:A,Batches!D:D))</f>
        <v/>
      </c>
    </row>
    <row r="366">
      <c r="E366">
        <f>IF(OR(B366="",D366=""),"",D366*XLOOKUP(B366,Batches!A:A,Batches!D:D))</f>
        <v/>
      </c>
    </row>
    <row r="367">
      <c r="E367">
        <f>IF(OR(B367="",D367=""),"",D367*XLOOKUP(B367,Batches!A:A,Batches!D:D))</f>
        <v/>
      </c>
    </row>
    <row r="368">
      <c r="E368">
        <f>IF(OR(B368="",D368=""),"",D368*XLOOKUP(B368,Batches!A:A,Batches!D:D))</f>
        <v/>
      </c>
    </row>
    <row r="369">
      <c r="E369">
        <f>IF(OR(B369="",D369=""),"",D369*XLOOKUP(B369,Batches!A:A,Batches!D:D))</f>
        <v/>
      </c>
    </row>
    <row r="370">
      <c r="E370">
        <f>IF(OR(B370="",D370=""),"",D370*XLOOKUP(B370,Batches!A:A,Batches!D:D))</f>
        <v/>
      </c>
    </row>
    <row r="371">
      <c r="E371">
        <f>IF(OR(B371="",D371=""),"",D371*XLOOKUP(B371,Batches!A:A,Batches!D:D))</f>
        <v/>
      </c>
    </row>
    <row r="372">
      <c r="E372">
        <f>IF(OR(B372="",D372=""),"",D372*XLOOKUP(B372,Batches!A:A,Batches!D:D))</f>
        <v/>
      </c>
    </row>
    <row r="373">
      <c r="E373">
        <f>IF(OR(B373="",D373=""),"",D373*XLOOKUP(B373,Batches!A:A,Batches!D:D))</f>
        <v/>
      </c>
    </row>
    <row r="374">
      <c r="E374">
        <f>IF(OR(B374="",D374=""),"",D374*XLOOKUP(B374,Batches!A:A,Batches!D:D))</f>
        <v/>
      </c>
    </row>
    <row r="375">
      <c r="E375">
        <f>IF(OR(B375="",D375=""),"",D375*XLOOKUP(B375,Batches!A:A,Batches!D:D))</f>
        <v/>
      </c>
    </row>
    <row r="376">
      <c r="E376">
        <f>IF(OR(B376="",D376=""),"",D376*XLOOKUP(B376,Batches!A:A,Batches!D:D))</f>
        <v/>
      </c>
    </row>
    <row r="377">
      <c r="E377">
        <f>IF(OR(B377="",D377=""),"",D377*XLOOKUP(B377,Batches!A:A,Batches!D:D))</f>
        <v/>
      </c>
    </row>
    <row r="378">
      <c r="E378">
        <f>IF(OR(B378="",D378=""),"",D378*XLOOKUP(B378,Batches!A:A,Batches!D:D))</f>
        <v/>
      </c>
    </row>
    <row r="379">
      <c r="E379">
        <f>IF(OR(B379="",D379=""),"",D379*XLOOKUP(B379,Batches!A:A,Batches!D:D))</f>
        <v/>
      </c>
    </row>
    <row r="380">
      <c r="E380">
        <f>IF(OR(B380="",D380=""),"",D380*XLOOKUP(B380,Batches!A:A,Batches!D:D))</f>
        <v/>
      </c>
    </row>
    <row r="381">
      <c r="E381">
        <f>IF(OR(B381="",D381=""),"",D381*XLOOKUP(B381,Batches!A:A,Batches!D:D))</f>
        <v/>
      </c>
    </row>
    <row r="382">
      <c r="E382">
        <f>IF(OR(B382="",D382=""),"",D382*XLOOKUP(B382,Batches!A:A,Batches!D:D))</f>
        <v/>
      </c>
    </row>
    <row r="383">
      <c r="E383">
        <f>IF(OR(B383="",D383=""),"",D383*XLOOKUP(B383,Batches!A:A,Batches!D:D))</f>
        <v/>
      </c>
    </row>
    <row r="384">
      <c r="E384">
        <f>IF(OR(B384="",D384=""),"",D384*XLOOKUP(B384,Batches!A:A,Batches!D:D))</f>
        <v/>
      </c>
    </row>
    <row r="385">
      <c r="E385">
        <f>IF(OR(B385="",D385=""),"",D385*XLOOKUP(B385,Batches!A:A,Batches!D:D))</f>
        <v/>
      </c>
    </row>
    <row r="386">
      <c r="E386">
        <f>IF(OR(B386="",D386=""),"",D386*XLOOKUP(B386,Batches!A:A,Batches!D:D))</f>
        <v/>
      </c>
    </row>
    <row r="387">
      <c r="E387">
        <f>IF(OR(B387="",D387=""),"",D387*XLOOKUP(B387,Batches!A:A,Batches!D:D))</f>
        <v/>
      </c>
    </row>
    <row r="388">
      <c r="E388">
        <f>IF(OR(B388="",D388=""),"",D388*XLOOKUP(B388,Batches!A:A,Batches!D:D))</f>
        <v/>
      </c>
    </row>
    <row r="389">
      <c r="E389">
        <f>IF(OR(B389="",D389=""),"",D389*XLOOKUP(B389,Batches!A:A,Batches!D:D))</f>
        <v/>
      </c>
    </row>
    <row r="390">
      <c r="E390">
        <f>IF(OR(B390="",D390=""),"",D390*XLOOKUP(B390,Batches!A:A,Batches!D:D))</f>
        <v/>
      </c>
    </row>
    <row r="391">
      <c r="E391">
        <f>IF(OR(B391="",D391=""),"",D391*XLOOKUP(B391,Batches!A:A,Batches!D:D))</f>
        <v/>
      </c>
    </row>
    <row r="392">
      <c r="E392">
        <f>IF(OR(B392="",D392=""),"",D392*XLOOKUP(B392,Batches!A:A,Batches!D:D))</f>
        <v/>
      </c>
    </row>
    <row r="393">
      <c r="E393">
        <f>IF(OR(B393="",D393=""),"",D393*XLOOKUP(B393,Batches!A:A,Batches!D:D))</f>
        <v/>
      </c>
    </row>
    <row r="394">
      <c r="E394">
        <f>IF(OR(B394="",D394=""),"",D394*XLOOKUP(B394,Batches!A:A,Batches!D:D))</f>
        <v/>
      </c>
    </row>
    <row r="395">
      <c r="E395">
        <f>IF(OR(B395="",D395=""),"",D395*XLOOKUP(B395,Batches!A:A,Batches!D:D))</f>
        <v/>
      </c>
    </row>
    <row r="396">
      <c r="E396">
        <f>IF(OR(B396="",D396=""),"",D396*XLOOKUP(B396,Batches!A:A,Batches!D:D))</f>
        <v/>
      </c>
    </row>
    <row r="397">
      <c r="E397">
        <f>IF(OR(B397="",D397=""),"",D397*XLOOKUP(B397,Batches!A:A,Batches!D:D))</f>
        <v/>
      </c>
    </row>
    <row r="398">
      <c r="E398">
        <f>IF(OR(B398="",D398=""),"",D398*XLOOKUP(B398,Batches!A:A,Batches!D:D))</f>
        <v/>
      </c>
    </row>
    <row r="399">
      <c r="E399">
        <f>IF(OR(B399="",D399=""),"",D399*XLOOKUP(B399,Batches!A:A,Batches!D:D))</f>
        <v/>
      </c>
    </row>
    <row r="400">
      <c r="E400">
        <f>IF(OR(B400="",D400=""),"",D400*XLOOKUP(B400,Batches!A:A,Batches!D:D))</f>
        <v/>
      </c>
    </row>
    <row r="401">
      <c r="E401">
        <f>IF(OR(B401="",D401=""),"",D401*XLOOKUP(B401,Batches!A:A,Batches!D:D))</f>
        <v/>
      </c>
    </row>
    <row r="402">
      <c r="E402">
        <f>IF(OR(B402="",D402=""),"",D402*XLOOKUP(B402,Batches!A:A,Batches!D:D))</f>
        <v/>
      </c>
    </row>
    <row r="403">
      <c r="E403">
        <f>IF(OR(B403="",D403=""),"",D403*XLOOKUP(B403,Batches!A:A,Batches!D:D))</f>
        <v/>
      </c>
    </row>
    <row r="404">
      <c r="E404">
        <f>IF(OR(B404="",D404=""),"",D404*XLOOKUP(B404,Batches!A:A,Batches!D:D))</f>
        <v/>
      </c>
    </row>
    <row r="405">
      <c r="E405">
        <f>IF(OR(B405="",D405=""),"",D405*XLOOKUP(B405,Batches!A:A,Batches!D:D))</f>
        <v/>
      </c>
    </row>
    <row r="406">
      <c r="E406">
        <f>IF(OR(B406="",D406=""),"",D406*XLOOKUP(B406,Batches!A:A,Batches!D:D))</f>
        <v/>
      </c>
    </row>
    <row r="407">
      <c r="E407">
        <f>IF(OR(B407="",D407=""),"",D407*XLOOKUP(B407,Batches!A:A,Batches!D:D))</f>
        <v/>
      </c>
    </row>
    <row r="408">
      <c r="E408">
        <f>IF(OR(B408="",D408=""),"",D408*XLOOKUP(B408,Batches!A:A,Batches!D:D))</f>
        <v/>
      </c>
    </row>
    <row r="409">
      <c r="E409">
        <f>IF(OR(B409="",D409=""),"",D409*XLOOKUP(B409,Batches!A:A,Batches!D:D))</f>
        <v/>
      </c>
    </row>
    <row r="410">
      <c r="E410">
        <f>IF(OR(B410="",D410=""),"",D410*XLOOKUP(B410,Batches!A:A,Batches!D:D))</f>
        <v/>
      </c>
    </row>
    <row r="411">
      <c r="E411">
        <f>IF(OR(B411="",D411=""),"",D411*XLOOKUP(B411,Batches!A:A,Batches!D:D))</f>
        <v/>
      </c>
    </row>
    <row r="412">
      <c r="E412">
        <f>IF(OR(B412="",D412=""),"",D412*XLOOKUP(B412,Batches!A:A,Batches!D:D))</f>
        <v/>
      </c>
    </row>
    <row r="413">
      <c r="E413">
        <f>IF(OR(B413="",D413=""),"",D413*XLOOKUP(B413,Batches!A:A,Batches!D:D))</f>
        <v/>
      </c>
    </row>
    <row r="414">
      <c r="E414">
        <f>IF(OR(B414="",D414=""),"",D414*XLOOKUP(B414,Batches!A:A,Batches!D:D))</f>
        <v/>
      </c>
    </row>
    <row r="415">
      <c r="E415">
        <f>IF(OR(B415="",D415=""),"",D415*XLOOKUP(B415,Batches!A:A,Batches!D:D))</f>
        <v/>
      </c>
    </row>
    <row r="416">
      <c r="E416">
        <f>IF(OR(B416="",D416=""),"",D416*XLOOKUP(B416,Batches!A:A,Batches!D:D))</f>
        <v/>
      </c>
    </row>
    <row r="417">
      <c r="E417">
        <f>IF(OR(B417="",D417=""),"",D417*XLOOKUP(B417,Batches!A:A,Batches!D:D))</f>
        <v/>
      </c>
    </row>
    <row r="418">
      <c r="E418">
        <f>IF(OR(B418="",D418=""),"",D418*XLOOKUP(B418,Batches!A:A,Batches!D:D))</f>
        <v/>
      </c>
    </row>
    <row r="419">
      <c r="E419">
        <f>IF(OR(B419="",D419=""),"",D419*XLOOKUP(B419,Batches!A:A,Batches!D:D))</f>
        <v/>
      </c>
    </row>
    <row r="420">
      <c r="E420">
        <f>IF(OR(B420="",D420=""),"",D420*XLOOKUP(B420,Batches!A:A,Batches!D:D))</f>
        <v/>
      </c>
    </row>
    <row r="421">
      <c r="E421">
        <f>IF(OR(B421="",D421=""),"",D421*XLOOKUP(B421,Batches!A:A,Batches!D:D))</f>
        <v/>
      </c>
    </row>
    <row r="422">
      <c r="E422">
        <f>IF(OR(B422="",D422=""),"",D422*XLOOKUP(B422,Batches!A:A,Batches!D:D))</f>
        <v/>
      </c>
    </row>
    <row r="423">
      <c r="E423">
        <f>IF(OR(B423="",D423=""),"",D423*XLOOKUP(B423,Batches!A:A,Batches!D:D))</f>
        <v/>
      </c>
    </row>
    <row r="424">
      <c r="E424">
        <f>IF(OR(B424="",D424=""),"",D424*XLOOKUP(B424,Batches!A:A,Batches!D:D))</f>
        <v/>
      </c>
    </row>
    <row r="425">
      <c r="E425">
        <f>IF(OR(B425="",D425=""),"",D425*XLOOKUP(B425,Batches!A:A,Batches!D:D))</f>
        <v/>
      </c>
    </row>
    <row r="426">
      <c r="E426">
        <f>IF(OR(B426="",D426=""),"",D426*XLOOKUP(B426,Batches!A:A,Batches!D:D))</f>
        <v/>
      </c>
    </row>
    <row r="427">
      <c r="E427">
        <f>IF(OR(B427="",D427=""),"",D427*XLOOKUP(B427,Batches!A:A,Batches!D:D))</f>
        <v/>
      </c>
    </row>
    <row r="428">
      <c r="E428">
        <f>IF(OR(B428="",D428=""),"",D428*XLOOKUP(B428,Batches!A:A,Batches!D:D))</f>
        <v/>
      </c>
    </row>
    <row r="429">
      <c r="E429">
        <f>IF(OR(B429="",D429=""),"",D429*XLOOKUP(B429,Batches!A:A,Batches!D:D))</f>
        <v/>
      </c>
    </row>
    <row r="430">
      <c r="E430">
        <f>IF(OR(B430="",D430=""),"",D430*XLOOKUP(B430,Batches!A:A,Batches!D:D))</f>
        <v/>
      </c>
    </row>
    <row r="431">
      <c r="E431">
        <f>IF(OR(B431="",D431=""),"",D431*XLOOKUP(B431,Batches!A:A,Batches!D:D))</f>
        <v/>
      </c>
    </row>
    <row r="432">
      <c r="E432">
        <f>IF(OR(B432="",D432=""),"",D432*XLOOKUP(B432,Batches!A:A,Batches!D:D))</f>
        <v/>
      </c>
    </row>
    <row r="433">
      <c r="E433">
        <f>IF(OR(B433="",D433=""),"",D433*XLOOKUP(B433,Batches!A:A,Batches!D:D))</f>
        <v/>
      </c>
    </row>
    <row r="434">
      <c r="E434">
        <f>IF(OR(B434="",D434=""),"",D434*XLOOKUP(B434,Batches!A:A,Batches!D:D))</f>
        <v/>
      </c>
    </row>
    <row r="435">
      <c r="E435">
        <f>IF(OR(B435="",D435=""),"",D435*XLOOKUP(B435,Batches!A:A,Batches!D:D))</f>
        <v/>
      </c>
    </row>
    <row r="436">
      <c r="E436">
        <f>IF(OR(B436="",D436=""),"",D436*XLOOKUP(B436,Batches!A:A,Batches!D:D))</f>
        <v/>
      </c>
    </row>
    <row r="437">
      <c r="E437">
        <f>IF(OR(B437="",D437=""),"",D437*XLOOKUP(B437,Batches!A:A,Batches!D:D))</f>
        <v/>
      </c>
    </row>
    <row r="438">
      <c r="E438">
        <f>IF(OR(B438="",D438=""),"",D438*XLOOKUP(B438,Batches!A:A,Batches!D:D))</f>
        <v/>
      </c>
    </row>
    <row r="439">
      <c r="E439">
        <f>IF(OR(B439="",D439=""),"",D439*XLOOKUP(B439,Batches!A:A,Batches!D:D))</f>
        <v/>
      </c>
    </row>
    <row r="440">
      <c r="E440">
        <f>IF(OR(B440="",D440=""),"",D440*XLOOKUP(B440,Batches!A:A,Batches!D:D))</f>
        <v/>
      </c>
    </row>
    <row r="441">
      <c r="E441">
        <f>IF(OR(B441="",D441=""),"",D441*XLOOKUP(B441,Batches!A:A,Batches!D:D))</f>
        <v/>
      </c>
    </row>
    <row r="442">
      <c r="E442">
        <f>IF(OR(B442="",D442=""),"",D442*XLOOKUP(B442,Batches!A:A,Batches!D:D))</f>
        <v/>
      </c>
    </row>
    <row r="443">
      <c r="E443">
        <f>IF(OR(B443="",D443=""),"",D443*XLOOKUP(B443,Batches!A:A,Batches!D:D))</f>
        <v/>
      </c>
    </row>
    <row r="444">
      <c r="E444">
        <f>IF(OR(B444="",D444=""),"",D444*XLOOKUP(B444,Batches!A:A,Batches!D:D))</f>
        <v/>
      </c>
    </row>
    <row r="445">
      <c r="E445">
        <f>IF(OR(B445="",D445=""),"",D445*XLOOKUP(B445,Batches!A:A,Batches!D:D))</f>
        <v/>
      </c>
    </row>
    <row r="446">
      <c r="E446">
        <f>IF(OR(B446="",D446=""),"",D446*XLOOKUP(B446,Batches!A:A,Batches!D:D))</f>
        <v/>
      </c>
    </row>
    <row r="447">
      <c r="E447">
        <f>IF(OR(B447="",D447=""),"",D447*XLOOKUP(B447,Batches!A:A,Batches!D:D))</f>
        <v/>
      </c>
    </row>
    <row r="448">
      <c r="E448">
        <f>IF(OR(B448="",D448=""),"",D448*XLOOKUP(B448,Batches!A:A,Batches!D:D))</f>
        <v/>
      </c>
    </row>
    <row r="449">
      <c r="E449">
        <f>IF(OR(B449="",D449=""),"",D449*XLOOKUP(B449,Batches!A:A,Batches!D:D))</f>
        <v/>
      </c>
    </row>
    <row r="450">
      <c r="E450">
        <f>IF(OR(B450="",D450=""),"",D450*XLOOKUP(B450,Batches!A:A,Batches!D:D))</f>
        <v/>
      </c>
    </row>
    <row r="451">
      <c r="E451">
        <f>IF(OR(B451="",D451=""),"",D451*XLOOKUP(B451,Batches!A:A,Batches!D:D))</f>
        <v/>
      </c>
    </row>
    <row r="452">
      <c r="E452">
        <f>IF(OR(B452="",D452=""),"",D452*XLOOKUP(B452,Batches!A:A,Batches!D:D))</f>
        <v/>
      </c>
    </row>
    <row r="453">
      <c r="E453">
        <f>IF(OR(B453="",D453=""),"",D453*XLOOKUP(B453,Batches!A:A,Batches!D:D))</f>
        <v/>
      </c>
    </row>
    <row r="454">
      <c r="E454">
        <f>IF(OR(B454="",D454=""),"",D454*XLOOKUP(B454,Batches!A:A,Batches!D:D))</f>
        <v/>
      </c>
    </row>
    <row r="455">
      <c r="E455">
        <f>IF(OR(B455="",D455=""),"",D455*XLOOKUP(B455,Batches!A:A,Batches!D:D))</f>
        <v/>
      </c>
    </row>
    <row r="456">
      <c r="E456">
        <f>IF(OR(B456="",D456=""),"",D456*XLOOKUP(B456,Batches!A:A,Batches!D:D))</f>
        <v/>
      </c>
    </row>
    <row r="457">
      <c r="E457">
        <f>IF(OR(B457="",D457=""),"",D457*XLOOKUP(B457,Batches!A:A,Batches!D:D))</f>
        <v/>
      </c>
    </row>
    <row r="458">
      <c r="E458">
        <f>IF(OR(B458="",D458=""),"",D458*XLOOKUP(B458,Batches!A:A,Batches!D:D))</f>
        <v/>
      </c>
    </row>
    <row r="459">
      <c r="E459">
        <f>IF(OR(B459="",D459=""),"",D459*XLOOKUP(B459,Batches!A:A,Batches!D:D))</f>
        <v/>
      </c>
    </row>
    <row r="460">
      <c r="E460">
        <f>IF(OR(B460="",D460=""),"",D460*XLOOKUP(B460,Batches!A:A,Batches!D:D))</f>
        <v/>
      </c>
    </row>
    <row r="461">
      <c r="E461">
        <f>IF(OR(B461="",D461=""),"",D461*XLOOKUP(B461,Batches!A:A,Batches!D:D))</f>
        <v/>
      </c>
    </row>
    <row r="462">
      <c r="E462">
        <f>IF(OR(B462="",D462=""),"",D462*XLOOKUP(B462,Batches!A:A,Batches!D:D))</f>
        <v/>
      </c>
    </row>
    <row r="463">
      <c r="E463">
        <f>IF(OR(B463="",D463=""),"",D463*XLOOKUP(B463,Batches!A:A,Batches!D:D))</f>
        <v/>
      </c>
    </row>
    <row r="464">
      <c r="E464">
        <f>IF(OR(B464="",D464=""),"",D464*XLOOKUP(B464,Batches!A:A,Batches!D:D))</f>
        <v/>
      </c>
    </row>
    <row r="465">
      <c r="E465">
        <f>IF(OR(B465="",D465=""),"",D465*XLOOKUP(B465,Batches!A:A,Batches!D:D))</f>
        <v/>
      </c>
    </row>
    <row r="466">
      <c r="E466">
        <f>IF(OR(B466="",D466=""),"",D466*XLOOKUP(B466,Batches!A:A,Batches!D:D))</f>
        <v/>
      </c>
    </row>
    <row r="467">
      <c r="E467">
        <f>IF(OR(B467="",D467=""),"",D467*XLOOKUP(B467,Batches!A:A,Batches!D:D))</f>
        <v/>
      </c>
    </row>
    <row r="468">
      <c r="E468">
        <f>IF(OR(B468="",D468=""),"",D468*XLOOKUP(B468,Batches!A:A,Batches!D:D))</f>
        <v/>
      </c>
    </row>
    <row r="469">
      <c r="E469">
        <f>IF(OR(B469="",D469=""),"",D469*XLOOKUP(B469,Batches!A:A,Batches!D:D))</f>
        <v/>
      </c>
    </row>
    <row r="470">
      <c r="E470">
        <f>IF(OR(B470="",D470=""),"",D470*XLOOKUP(B470,Batches!A:A,Batches!D:D))</f>
        <v/>
      </c>
    </row>
    <row r="471">
      <c r="E471">
        <f>IF(OR(B471="",D471=""),"",D471*XLOOKUP(B471,Batches!A:A,Batches!D:D))</f>
        <v/>
      </c>
    </row>
    <row r="472">
      <c r="E472">
        <f>IF(OR(B472="",D472=""),"",D472*XLOOKUP(B472,Batches!A:A,Batches!D:D))</f>
        <v/>
      </c>
    </row>
    <row r="473">
      <c r="E473">
        <f>IF(OR(B473="",D473=""),"",D473*XLOOKUP(B473,Batches!A:A,Batches!D:D))</f>
        <v/>
      </c>
    </row>
    <row r="474">
      <c r="E474">
        <f>IF(OR(B474="",D474=""),"",D474*XLOOKUP(B474,Batches!A:A,Batches!D:D))</f>
        <v/>
      </c>
    </row>
    <row r="475">
      <c r="E475">
        <f>IF(OR(B475="",D475=""),"",D475*XLOOKUP(B475,Batches!A:A,Batches!D:D))</f>
        <v/>
      </c>
    </row>
    <row r="476">
      <c r="E476">
        <f>IF(OR(B476="",D476=""),"",D476*XLOOKUP(B476,Batches!A:A,Batches!D:D))</f>
        <v/>
      </c>
    </row>
    <row r="477">
      <c r="E477">
        <f>IF(OR(B477="",D477=""),"",D477*XLOOKUP(B477,Batches!A:A,Batches!D:D))</f>
        <v/>
      </c>
    </row>
    <row r="478">
      <c r="E478">
        <f>IF(OR(B478="",D478=""),"",D478*XLOOKUP(B478,Batches!A:A,Batches!D:D))</f>
        <v/>
      </c>
    </row>
    <row r="479">
      <c r="E479">
        <f>IF(OR(B479="",D479=""),"",D479*XLOOKUP(B479,Batches!A:A,Batches!D:D))</f>
        <v/>
      </c>
    </row>
    <row r="480">
      <c r="E480">
        <f>IF(OR(B480="",D480=""),"",D480*XLOOKUP(B480,Batches!A:A,Batches!D:D))</f>
        <v/>
      </c>
    </row>
    <row r="481">
      <c r="E481">
        <f>IF(OR(B481="",D481=""),"",D481*XLOOKUP(B481,Batches!A:A,Batches!D:D))</f>
        <v/>
      </c>
    </row>
    <row r="482">
      <c r="E482">
        <f>IF(OR(B482="",D482=""),"",D482*XLOOKUP(B482,Batches!A:A,Batches!D:D))</f>
        <v/>
      </c>
    </row>
    <row r="483">
      <c r="E483">
        <f>IF(OR(B483="",D483=""),"",D483*XLOOKUP(B483,Batches!A:A,Batches!D:D))</f>
        <v/>
      </c>
    </row>
    <row r="484">
      <c r="E484">
        <f>IF(OR(B484="",D484=""),"",D484*XLOOKUP(B484,Batches!A:A,Batches!D:D))</f>
        <v/>
      </c>
    </row>
    <row r="485">
      <c r="E485">
        <f>IF(OR(B485="",D485=""),"",D485*XLOOKUP(B485,Batches!A:A,Batches!D:D))</f>
        <v/>
      </c>
    </row>
    <row r="486">
      <c r="E486">
        <f>IF(OR(B486="",D486=""),"",D486*XLOOKUP(B486,Batches!A:A,Batches!D:D))</f>
        <v/>
      </c>
    </row>
    <row r="487">
      <c r="E487">
        <f>IF(OR(B487="",D487=""),"",D487*XLOOKUP(B487,Batches!A:A,Batches!D:D))</f>
        <v/>
      </c>
    </row>
    <row r="488">
      <c r="E488">
        <f>IF(OR(B488="",D488=""),"",D488*XLOOKUP(B488,Batches!A:A,Batches!D:D))</f>
        <v/>
      </c>
    </row>
    <row r="489">
      <c r="E489">
        <f>IF(OR(B489="",D489=""),"",D489*XLOOKUP(B489,Batches!A:A,Batches!D:D))</f>
        <v/>
      </c>
    </row>
    <row r="490">
      <c r="E490">
        <f>IF(OR(B490="",D490=""),"",D490*XLOOKUP(B490,Batches!A:A,Batches!D:D))</f>
        <v/>
      </c>
    </row>
    <row r="491">
      <c r="E491">
        <f>IF(OR(B491="",D491=""),"",D491*XLOOKUP(B491,Batches!A:A,Batches!D:D))</f>
        <v/>
      </c>
    </row>
    <row r="492">
      <c r="E492">
        <f>IF(OR(B492="",D492=""),"",D492*XLOOKUP(B492,Batches!A:A,Batches!D:D))</f>
        <v/>
      </c>
    </row>
    <row r="493">
      <c r="E493">
        <f>IF(OR(B493="",D493=""),"",D493*XLOOKUP(B493,Batches!A:A,Batches!D:D))</f>
        <v/>
      </c>
    </row>
    <row r="494">
      <c r="E494">
        <f>IF(OR(B494="",D494=""),"",D494*XLOOKUP(B494,Batches!A:A,Batches!D:D))</f>
        <v/>
      </c>
    </row>
    <row r="495">
      <c r="E495">
        <f>IF(OR(B495="",D495=""),"",D495*XLOOKUP(B495,Batches!A:A,Batches!D:D))</f>
        <v/>
      </c>
    </row>
    <row r="496">
      <c r="E496">
        <f>IF(OR(B496="",D496=""),"",D496*XLOOKUP(B496,Batches!A:A,Batches!D:D))</f>
        <v/>
      </c>
    </row>
    <row r="497">
      <c r="E497">
        <f>IF(OR(B497="",D497=""),"",D497*XLOOKUP(B497,Batches!A:A,Batches!D:D))</f>
        <v/>
      </c>
    </row>
    <row r="498">
      <c r="E498">
        <f>IF(OR(B498="",D498=""),"",D498*XLOOKUP(B498,Batches!A:A,Batches!D:D))</f>
        <v/>
      </c>
    </row>
    <row r="499">
      <c r="E499">
        <f>IF(OR(B499="",D499=""),"",D499*XLOOKUP(B499,Batches!A:A,Batches!D:D))</f>
        <v/>
      </c>
    </row>
    <row r="500">
      <c r="E500">
        <f>IF(OR(B500="",D500=""),"",D500*XLOOKUP(B500,Batches!A:A,Batches!D:D))</f>
        <v/>
      </c>
    </row>
    <row r="501">
      <c r="E501">
        <f>IF(OR(B501="",D501=""),"",D501*XLOOKUP(B501,Batches!A:A,Batches!D:D))</f>
        <v/>
      </c>
    </row>
    <row r="502">
      <c r="E502">
        <f>IF(OR(B502="",D502=""),"",D502*XLOOKUP(B502,Batches!A:A,Batches!D:D))</f>
        <v/>
      </c>
    </row>
    <row r="503">
      <c r="E503">
        <f>IF(OR(B503="",D503=""),"",D503*XLOOKUP(B503,Batches!A:A,Batches!D:D))</f>
        <v/>
      </c>
    </row>
    <row r="504">
      <c r="E504">
        <f>IF(OR(B504="",D504=""),"",D504*XLOOKUP(B504,Batches!A:A,Batches!D:D))</f>
        <v/>
      </c>
    </row>
    <row r="505">
      <c r="E505">
        <f>IF(OR(B505="",D505=""),"",D505*XLOOKUP(B505,Batches!A:A,Batches!D:D))</f>
        <v/>
      </c>
    </row>
    <row r="506">
      <c r="E506">
        <f>IF(OR(B506="",D506=""),"",D506*XLOOKUP(B506,Batches!A:A,Batches!D:D))</f>
        <v/>
      </c>
    </row>
    <row r="507">
      <c r="E507">
        <f>IF(OR(B507="",D507=""),"",D507*XLOOKUP(B507,Batches!A:A,Batches!D:D))</f>
        <v/>
      </c>
    </row>
    <row r="508">
      <c r="E508">
        <f>IF(OR(B508="",D508=""),"",D508*XLOOKUP(B508,Batches!A:A,Batches!D:D))</f>
        <v/>
      </c>
    </row>
    <row r="509">
      <c r="E509">
        <f>IF(OR(B509="",D509=""),"",D509*XLOOKUP(B509,Batches!A:A,Batches!D:D))</f>
        <v/>
      </c>
    </row>
    <row r="510">
      <c r="E510">
        <f>IF(OR(B510="",D510=""),"",D510*XLOOKUP(B510,Batches!A:A,Batches!D:D))</f>
        <v/>
      </c>
    </row>
    <row r="511">
      <c r="E511">
        <f>IF(OR(B511="",D511=""),"",D511*XLOOKUP(B511,Batches!A:A,Batches!D:D))</f>
        <v/>
      </c>
    </row>
    <row r="512">
      <c r="E512">
        <f>IF(OR(B512="",D512=""),"",D512*XLOOKUP(B512,Batches!A:A,Batches!D:D))</f>
        <v/>
      </c>
    </row>
    <row r="513">
      <c r="E513">
        <f>IF(OR(B513="",D513=""),"",D513*XLOOKUP(B513,Batches!A:A,Batches!D:D))</f>
        <v/>
      </c>
    </row>
    <row r="514">
      <c r="E514">
        <f>IF(OR(B514="",D514=""),"",D514*XLOOKUP(B514,Batches!A:A,Batches!D:D))</f>
        <v/>
      </c>
    </row>
    <row r="515">
      <c r="E515">
        <f>IF(OR(B515="",D515=""),"",D515*XLOOKUP(B515,Batches!A:A,Batches!D:D))</f>
        <v/>
      </c>
    </row>
    <row r="516">
      <c r="E516">
        <f>IF(OR(B516="",D516=""),"",D516*XLOOKUP(B516,Batches!A:A,Batches!D:D))</f>
        <v/>
      </c>
    </row>
    <row r="517">
      <c r="E517">
        <f>IF(OR(B517="",D517=""),"",D517*XLOOKUP(B517,Batches!A:A,Batches!D:D))</f>
        <v/>
      </c>
    </row>
    <row r="518">
      <c r="E518">
        <f>IF(OR(B518="",D518=""),"",D518*XLOOKUP(B518,Batches!A:A,Batches!D:D))</f>
        <v/>
      </c>
    </row>
    <row r="519">
      <c r="E519">
        <f>IF(OR(B519="",D519=""),"",D519*XLOOKUP(B519,Batches!A:A,Batches!D:D))</f>
        <v/>
      </c>
    </row>
    <row r="520">
      <c r="E520">
        <f>IF(OR(B520="",D520=""),"",D520*XLOOKUP(B520,Batches!A:A,Batches!D:D))</f>
        <v/>
      </c>
    </row>
    <row r="521">
      <c r="E521">
        <f>IF(OR(B521="",D521=""),"",D521*XLOOKUP(B521,Batches!A:A,Batches!D:D))</f>
        <v/>
      </c>
    </row>
    <row r="522">
      <c r="E522">
        <f>IF(OR(B522="",D522=""),"",D522*XLOOKUP(B522,Batches!A:A,Batches!D:D))</f>
        <v/>
      </c>
    </row>
    <row r="523">
      <c r="E523">
        <f>IF(OR(B523="",D523=""),"",D523*XLOOKUP(B523,Batches!A:A,Batches!D:D))</f>
        <v/>
      </c>
    </row>
    <row r="524">
      <c r="E524">
        <f>IF(OR(B524="",D524=""),"",D524*XLOOKUP(B524,Batches!A:A,Batches!D:D))</f>
        <v/>
      </c>
    </row>
    <row r="525">
      <c r="E525">
        <f>IF(OR(B525="",D525=""),"",D525*XLOOKUP(B525,Batches!A:A,Batches!D:D))</f>
        <v/>
      </c>
    </row>
    <row r="526">
      <c r="E526">
        <f>IF(OR(B526="",D526=""),"",D526*XLOOKUP(B526,Batches!A:A,Batches!D:D))</f>
        <v/>
      </c>
    </row>
    <row r="527">
      <c r="E527">
        <f>IF(OR(B527="",D527=""),"",D527*XLOOKUP(B527,Batches!A:A,Batches!D:D))</f>
        <v/>
      </c>
    </row>
    <row r="528">
      <c r="E528">
        <f>IF(OR(B528="",D528=""),"",D528*XLOOKUP(B528,Batches!A:A,Batches!D:D))</f>
        <v/>
      </c>
    </row>
    <row r="529">
      <c r="E529">
        <f>IF(OR(B529="",D529=""),"",D529*XLOOKUP(B529,Batches!A:A,Batches!D:D))</f>
        <v/>
      </c>
    </row>
    <row r="530">
      <c r="E530">
        <f>IF(OR(B530="",D530=""),"",D530*XLOOKUP(B530,Batches!A:A,Batches!D:D))</f>
        <v/>
      </c>
    </row>
    <row r="531">
      <c r="E531">
        <f>IF(OR(B531="",D531=""),"",D531*XLOOKUP(B531,Batches!A:A,Batches!D:D))</f>
        <v/>
      </c>
    </row>
    <row r="532">
      <c r="E532">
        <f>IF(OR(B532="",D532=""),"",D532*XLOOKUP(B532,Batches!A:A,Batches!D:D))</f>
        <v/>
      </c>
    </row>
    <row r="533">
      <c r="E533">
        <f>IF(OR(B533="",D533=""),"",D533*XLOOKUP(B533,Batches!A:A,Batches!D:D))</f>
        <v/>
      </c>
    </row>
    <row r="534">
      <c r="E534">
        <f>IF(OR(B534="",D534=""),"",D534*XLOOKUP(B534,Batches!A:A,Batches!D:D))</f>
        <v/>
      </c>
    </row>
    <row r="535">
      <c r="E535">
        <f>IF(OR(B535="",D535=""),"",D535*XLOOKUP(B535,Batches!A:A,Batches!D:D))</f>
        <v/>
      </c>
    </row>
    <row r="536">
      <c r="E536">
        <f>IF(OR(B536="",D536=""),"",D536*XLOOKUP(B536,Batches!A:A,Batches!D:D))</f>
        <v/>
      </c>
    </row>
    <row r="537">
      <c r="E537">
        <f>IF(OR(B537="",D537=""),"",D537*XLOOKUP(B537,Batches!A:A,Batches!D:D))</f>
        <v/>
      </c>
    </row>
    <row r="538">
      <c r="E538">
        <f>IF(OR(B538="",D538=""),"",D538*XLOOKUP(B538,Batches!A:A,Batches!D:D))</f>
        <v/>
      </c>
    </row>
    <row r="539">
      <c r="E539">
        <f>IF(OR(B539="",D539=""),"",D539*XLOOKUP(B539,Batches!A:A,Batches!D:D))</f>
        <v/>
      </c>
    </row>
    <row r="540">
      <c r="E540">
        <f>IF(OR(B540="",D540=""),"",D540*XLOOKUP(B540,Batches!A:A,Batches!D:D))</f>
        <v/>
      </c>
    </row>
    <row r="541">
      <c r="E541">
        <f>IF(OR(B541="",D541=""),"",D541*XLOOKUP(B541,Batches!A:A,Batches!D:D))</f>
        <v/>
      </c>
    </row>
    <row r="542">
      <c r="E542">
        <f>IF(OR(B542="",D542=""),"",D542*XLOOKUP(B542,Batches!A:A,Batches!D:D))</f>
        <v/>
      </c>
    </row>
    <row r="543">
      <c r="E543">
        <f>IF(OR(B543="",D543=""),"",D543*XLOOKUP(B543,Batches!A:A,Batches!D:D))</f>
        <v/>
      </c>
    </row>
    <row r="544">
      <c r="E544">
        <f>IF(OR(B544="",D544=""),"",D544*XLOOKUP(B544,Batches!A:A,Batches!D:D))</f>
        <v/>
      </c>
    </row>
    <row r="545">
      <c r="E545">
        <f>IF(OR(B545="",D545=""),"",D545*XLOOKUP(B545,Batches!A:A,Batches!D:D))</f>
        <v/>
      </c>
    </row>
    <row r="546">
      <c r="E546">
        <f>IF(OR(B546="",D546=""),"",D546*XLOOKUP(B546,Batches!A:A,Batches!D:D))</f>
        <v/>
      </c>
    </row>
    <row r="547">
      <c r="E547">
        <f>IF(OR(B547="",D547=""),"",D547*XLOOKUP(B547,Batches!A:A,Batches!D:D))</f>
        <v/>
      </c>
    </row>
    <row r="548">
      <c r="E548">
        <f>IF(OR(B548="",D548=""),"",D548*XLOOKUP(B548,Batches!A:A,Batches!D:D))</f>
        <v/>
      </c>
    </row>
    <row r="549">
      <c r="E549">
        <f>IF(OR(B549="",D549=""),"",D549*XLOOKUP(B549,Batches!A:A,Batches!D:D))</f>
        <v/>
      </c>
    </row>
    <row r="550">
      <c r="E550">
        <f>IF(OR(B550="",D550=""),"",D550*XLOOKUP(B550,Batches!A:A,Batches!D:D))</f>
        <v/>
      </c>
    </row>
    <row r="551">
      <c r="E551">
        <f>IF(OR(B551="",D551=""),"",D551*XLOOKUP(B551,Batches!A:A,Batches!D:D))</f>
        <v/>
      </c>
    </row>
    <row r="552">
      <c r="E552">
        <f>IF(OR(B552="",D552=""),"",D552*XLOOKUP(B552,Batches!A:A,Batches!D:D))</f>
        <v/>
      </c>
    </row>
    <row r="553">
      <c r="E553">
        <f>IF(OR(B553="",D553=""),"",D553*XLOOKUP(B553,Batches!A:A,Batches!D:D))</f>
        <v/>
      </c>
    </row>
    <row r="554">
      <c r="E554">
        <f>IF(OR(B554="",D554=""),"",D554*XLOOKUP(B554,Batches!A:A,Batches!D:D))</f>
        <v/>
      </c>
    </row>
    <row r="555">
      <c r="E555">
        <f>IF(OR(B555="",D555=""),"",D555*XLOOKUP(B555,Batches!A:A,Batches!D:D))</f>
        <v/>
      </c>
    </row>
    <row r="556">
      <c r="E556">
        <f>IF(OR(B556="",D556=""),"",D556*XLOOKUP(B556,Batches!A:A,Batches!D:D))</f>
        <v/>
      </c>
    </row>
    <row r="557">
      <c r="E557">
        <f>IF(OR(B557="",D557=""),"",D557*XLOOKUP(B557,Batches!A:A,Batches!D:D))</f>
        <v/>
      </c>
    </row>
    <row r="558">
      <c r="E558">
        <f>IF(OR(B558="",D558=""),"",D558*XLOOKUP(B558,Batches!A:A,Batches!D:D))</f>
        <v/>
      </c>
    </row>
    <row r="559">
      <c r="E559">
        <f>IF(OR(B559="",D559=""),"",D559*XLOOKUP(B559,Batches!A:A,Batches!D:D))</f>
        <v/>
      </c>
    </row>
    <row r="560">
      <c r="E560">
        <f>IF(OR(B560="",D560=""),"",D560*XLOOKUP(B560,Batches!A:A,Batches!D:D))</f>
        <v/>
      </c>
    </row>
    <row r="561">
      <c r="E561">
        <f>IF(OR(B561="",D561=""),"",D561*XLOOKUP(B561,Batches!A:A,Batches!D:D))</f>
        <v/>
      </c>
    </row>
    <row r="562">
      <c r="E562">
        <f>IF(OR(B562="",D562=""),"",D562*XLOOKUP(B562,Batches!A:A,Batches!D:D))</f>
        <v/>
      </c>
    </row>
    <row r="563">
      <c r="E563">
        <f>IF(OR(B563="",D563=""),"",D563*XLOOKUP(B563,Batches!A:A,Batches!D:D))</f>
        <v/>
      </c>
    </row>
    <row r="564">
      <c r="E564">
        <f>IF(OR(B564="",D564=""),"",D564*XLOOKUP(B564,Batches!A:A,Batches!D:D))</f>
        <v/>
      </c>
    </row>
    <row r="565">
      <c r="E565">
        <f>IF(OR(B565="",D565=""),"",D565*XLOOKUP(B565,Batches!A:A,Batches!D:D))</f>
        <v/>
      </c>
    </row>
    <row r="566">
      <c r="E566">
        <f>IF(OR(B566="",D566=""),"",D566*XLOOKUP(B566,Batches!A:A,Batches!D:D))</f>
        <v/>
      </c>
    </row>
    <row r="567">
      <c r="E567">
        <f>IF(OR(B567="",D567=""),"",D567*XLOOKUP(B567,Batches!A:A,Batches!D:D))</f>
        <v/>
      </c>
    </row>
    <row r="568">
      <c r="E568">
        <f>IF(OR(B568="",D568=""),"",D568*XLOOKUP(B568,Batches!A:A,Batches!D:D))</f>
        <v/>
      </c>
    </row>
    <row r="569">
      <c r="E569">
        <f>IF(OR(B569="",D569=""),"",D569*XLOOKUP(B569,Batches!A:A,Batches!D:D))</f>
        <v/>
      </c>
    </row>
    <row r="570">
      <c r="E570">
        <f>IF(OR(B570="",D570=""),"",D570*XLOOKUP(B570,Batches!A:A,Batches!D:D))</f>
        <v/>
      </c>
    </row>
    <row r="571">
      <c r="E571">
        <f>IF(OR(B571="",D571=""),"",D571*XLOOKUP(B571,Batches!A:A,Batches!D:D))</f>
        <v/>
      </c>
    </row>
    <row r="572">
      <c r="E572">
        <f>IF(OR(B572="",D572=""),"",D572*XLOOKUP(B572,Batches!A:A,Batches!D:D))</f>
        <v/>
      </c>
    </row>
    <row r="573">
      <c r="E573">
        <f>IF(OR(B573="",D573=""),"",D573*XLOOKUP(B573,Batches!A:A,Batches!D:D))</f>
        <v/>
      </c>
    </row>
    <row r="574">
      <c r="E574">
        <f>IF(OR(B574="",D574=""),"",D574*XLOOKUP(B574,Batches!A:A,Batches!D:D))</f>
        <v/>
      </c>
    </row>
    <row r="575">
      <c r="E575">
        <f>IF(OR(B575="",D575=""),"",D575*XLOOKUP(B575,Batches!A:A,Batches!D:D))</f>
        <v/>
      </c>
    </row>
    <row r="576">
      <c r="E576">
        <f>IF(OR(B576="",D576=""),"",D576*XLOOKUP(B576,Batches!A:A,Batches!D:D))</f>
        <v/>
      </c>
    </row>
    <row r="577">
      <c r="E577">
        <f>IF(OR(B577="",D577=""),"",D577*XLOOKUP(B577,Batches!A:A,Batches!D:D))</f>
        <v/>
      </c>
    </row>
    <row r="578">
      <c r="E578">
        <f>IF(OR(B578="",D578=""),"",D578*XLOOKUP(B578,Batches!A:A,Batches!D:D))</f>
        <v/>
      </c>
    </row>
    <row r="579">
      <c r="E579">
        <f>IF(OR(B579="",D579=""),"",D579*XLOOKUP(B579,Batches!A:A,Batches!D:D))</f>
        <v/>
      </c>
    </row>
    <row r="580">
      <c r="E580">
        <f>IF(OR(B580="",D580=""),"",D580*XLOOKUP(B580,Batches!A:A,Batches!D:D))</f>
        <v/>
      </c>
    </row>
    <row r="581">
      <c r="E581">
        <f>IF(OR(B581="",D581=""),"",D581*XLOOKUP(B581,Batches!A:A,Batches!D:D))</f>
        <v/>
      </c>
    </row>
    <row r="582">
      <c r="E582">
        <f>IF(OR(B582="",D582=""),"",D582*XLOOKUP(B582,Batches!A:A,Batches!D:D))</f>
        <v/>
      </c>
    </row>
    <row r="583">
      <c r="E583">
        <f>IF(OR(B583="",D583=""),"",D583*XLOOKUP(B583,Batches!A:A,Batches!D:D))</f>
        <v/>
      </c>
    </row>
    <row r="584">
      <c r="E584">
        <f>IF(OR(B584="",D584=""),"",D584*XLOOKUP(B584,Batches!A:A,Batches!D:D))</f>
        <v/>
      </c>
    </row>
    <row r="585">
      <c r="E585">
        <f>IF(OR(B585="",D585=""),"",D585*XLOOKUP(B585,Batches!A:A,Batches!D:D))</f>
        <v/>
      </c>
    </row>
    <row r="586">
      <c r="E586">
        <f>IF(OR(B586="",D586=""),"",D586*XLOOKUP(B586,Batches!A:A,Batches!D:D))</f>
        <v/>
      </c>
    </row>
    <row r="587">
      <c r="E587">
        <f>IF(OR(B587="",D587=""),"",D587*XLOOKUP(B587,Batches!A:A,Batches!D:D))</f>
        <v/>
      </c>
    </row>
    <row r="588">
      <c r="E588">
        <f>IF(OR(B588="",D588=""),"",D588*XLOOKUP(B588,Batches!A:A,Batches!D:D))</f>
        <v/>
      </c>
    </row>
    <row r="589">
      <c r="E589">
        <f>IF(OR(B589="",D589=""),"",D589*XLOOKUP(B589,Batches!A:A,Batches!D:D))</f>
        <v/>
      </c>
    </row>
    <row r="590">
      <c r="E590">
        <f>IF(OR(B590="",D590=""),"",D590*XLOOKUP(B590,Batches!A:A,Batches!D:D))</f>
        <v/>
      </c>
    </row>
    <row r="591">
      <c r="E591">
        <f>IF(OR(B591="",D591=""),"",D591*XLOOKUP(B591,Batches!A:A,Batches!D:D))</f>
        <v/>
      </c>
    </row>
    <row r="592">
      <c r="E592">
        <f>IF(OR(B592="",D592=""),"",D592*XLOOKUP(B592,Batches!A:A,Batches!D:D))</f>
        <v/>
      </c>
    </row>
    <row r="593">
      <c r="E593">
        <f>IF(OR(B593="",D593=""),"",D593*XLOOKUP(B593,Batches!A:A,Batches!D:D))</f>
        <v/>
      </c>
    </row>
    <row r="594">
      <c r="E594">
        <f>IF(OR(B594="",D594=""),"",D594*XLOOKUP(B594,Batches!A:A,Batches!D:D))</f>
        <v/>
      </c>
    </row>
    <row r="595">
      <c r="E595">
        <f>IF(OR(B595="",D595=""),"",D595*XLOOKUP(B595,Batches!A:A,Batches!D:D))</f>
        <v/>
      </c>
    </row>
    <row r="596">
      <c r="E596">
        <f>IF(OR(B596="",D596=""),"",D596*XLOOKUP(B596,Batches!A:A,Batches!D:D))</f>
        <v/>
      </c>
    </row>
    <row r="597">
      <c r="E597">
        <f>IF(OR(B597="",D597=""),"",D597*XLOOKUP(B597,Batches!A:A,Batches!D:D))</f>
        <v/>
      </c>
    </row>
    <row r="598">
      <c r="E598">
        <f>IF(OR(B598="",D598=""),"",D598*XLOOKUP(B598,Batches!A:A,Batches!D:D))</f>
        <v/>
      </c>
    </row>
    <row r="599">
      <c r="E599">
        <f>IF(OR(B599="",D599=""),"",D599*XLOOKUP(B599,Batches!A:A,Batches!D:D))</f>
        <v/>
      </c>
    </row>
    <row r="600">
      <c r="E600">
        <f>IF(OR(B600="",D600=""),"",D600*XLOOKUP(B600,Batches!A:A,Batches!D:D))</f>
        <v/>
      </c>
    </row>
    <row r="601">
      <c r="E601">
        <f>IF(OR(B601="",D601=""),"",D601*XLOOKUP(B601,Batches!A:A,Batches!D:D))</f>
        <v/>
      </c>
    </row>
    <row r="602">
      <c r="E602">
        <f>IF(OR(B602="",D602=""),"",D602*XLOOKUP(B602,Batches!A:A,Batches!D:D))</f>
        <v/>
      </c>
    </row>
    <row r="603">
      <c r="E603">
        <f>IF(OR(B603="",D603=""),"",D603*XLOOKUP(B603,Batches!A:A,Batches!D:D))</f>
        <v/>
      </c>
    </row>
    <row r="604">
      <c r="E604">
        <f>IF(OR(B604="",D604=""),"",D604*XLOOKUP(B604,Batches!A:A,Batches!D:D))</f>
        <v/>
      </c>
    </row>
    <row r="605">
      <c r="E605">
        <f>IF(OR(B605="",D605=""),"",D605*XLOOKUP(B605,Batches!A:A,Batches!D:D))</f>
        <v/>
      </c>
    </row>
    <row r="606">
      <c r="E606">
        <f>IF(OR(B606="",D606=""),"",D606*XLOOKUP(B606,Batches!A:A,Batches!D:D))</f>
        <v/>
      </c>
    </row>
    <row r="607">
      <c r="E607">
        <f>IF(OR(B607="",D607=""),"",D607*XLOOKUP(B607,Batches!A:A,Batches!D:D))</f>
        <v/>
      </c>
    </row>
    <row r="608">
      <c r="E608">
        <f>IF(OR(B608="",D608=""),"",D608*XLOOKUP(B608,Batches!A:A,Batches!D:D))</f>
        <v/>
      </c>
    </row>
    <row r="609">
      <c r="E609">
        <f>IF(OR(B609="",D609=""),"",D609*XLOOKUP(B609,Batches!A:A,Batches!D:D))</f>
        <v/>
      </c>
    </row>
    <row r="610">
      <c r="E610">
        <f>IF(OR(B610="",D610=""),"",D610*XLOOKUP(B610,Batches!A:A,Batches!D:D))</f>
        <v/>
      </c>
    </row>
    <row r="611">
      <c r="E611">
        <f>IF(OR(B611="",D611=""),"",D611*XLOOKUP(B611,Batches!A:A,Batches!D:D))</f>
        <v/>
      </c>
    </row>
    <row r="612">
      <c r="E612">
        <f>IF(OR(B612="",D612=""),"",D612*XLOOKUP(B612,Batches!A:A,Batches!D:D))</f>
        <v/>
      </c>
    </row>
    <row r="613">
      <c r="E613">
        <f>IF(OR(B613="",D613=""),"",D613*XLOOKUP(B613,Batches!A:A,Batches!D:D))</f>
        <v/>
      </c>
    </row>
    <row r="614">
      <c r="E614">
        <f>IF(OR(B614="",D614=""),"",D614*XLOOKUP(B614,Batches!A:A,Batches!D:D))</f>
        <v/>
      </c>
    </row>
    <row r="615">
      <c r="E615">
        <f>IF(OR(B615="",D615=""),"",D615*XLOOKUP(B615,Batches!A:A,Batches!D:D))</f>
        <v/>
      </c>
    </row>
    <row r="616">
      <c r="E616">
        <f>IF(OR(B616="",D616=""),"",D616*XLOOKUP(B616,Batches!A:A,Batches!D:D))</f>
        <v/>
      </c>
    </row>
    <row r="617">
      <c r="E617">
        <f>IF(OR(B617="",D617=""),"",D617*XLOOKUP(B617,Batches!A:A,Batches!D:D))</f>
        <v/>
      </c>
    </row>
    <row r="618">
      <c r="E618">
        <f>IF(OR(B618="",D618=""),"",D618*XLOOKUP(B618,Batches!A:A,Batches!D:D))</f>
        <v/>
      </c>
    </row>
    <row r="619">
      <c r="E619">
        <f>IF(OR(B619="",D619=""),"",D619*XLOOKUP(B619,Batches!A:A,Batches!D:D))</f>
        <v/>
      </c>
    </row>
    <row r="620">
      <c r="E620">
        <f>IF(OR(B620="",D620=""),"",D620*XLOOKUP(B620,Batches!A:A,Batches!D:D))</f>
        <v/>
      </c>
    </row>
    <row r="621">
      <c r="E621">
        <f>IF(OR(B621="",D621=""),"",D621*XLOOKUP(B621,Batches!A:A,Batches!D:D))</f>
        <v/>
      </c>
    </row>
    <row r="622">
      <c r="E622">
        <f>IF(OR(B622="",D622=""),"",D622*XLOOKUP(B622,Batches!A:A,Batches!D:D))</f>
        <v/>
      </c>
    </row>
    <row r="623">
      <c r="E623">
        <f>IF(OR(B623="",D623=""),"",D623*XLOOKUP(B623,Batches!A:A,Batches!D:D))</f>
        <v/>
      </c>
    </row>
    <row r="624">
      <c r="E624">
        <f>IF(OR(B624="",D624=""),"",D624*XLOOKUP(B624,Batches!A:A,Batches!D:D))</f>
        <v/>
      </c>
    </row>
    <row r="625">
      <c r="E625">
        <f>IF(OR(B625="",D625=""),"",D625*XLOOKUP(B625,Batches!A:A,Batches!D:D))</f>
        <v/>
      </c>
    </row>
    <row r="626">
      <c r="E626">
        <f>IF(OR(B626="",D626=""),"",D626*XLOOKUP(B626,Batches!A:A,Batches!D:D))</f>
        <v/>
      </c>
    </row>
    <row r="627">
      <c r="E627">
        <f>IF(OR(B627="",D627=""),"",D627*XLOOKUP(B627,Batches!A:A,Batches!D:D))</f>
        <v/>
      </c>
    </row>
    <row r="628">
      <c r="E628">
        <f>IF(OR(B628="",D628=""),"",D628*XLOOKUP(B628,Batches!A:A,Batches!D:D))</f>
        <v/>
      </c>
    </row>
    <row r="629">
      <c r="E629">
        <f>IF(OR(B629="",D629=""),"",D629*XLOOKUP(B629,Batches!A:A,Batches!D:D))</f>
        <v/>
      </c>
    </row>
    <row r="630">
      <c r="E630">
        <f>IF(OR(B630="",D630=""),"",D630*XLOOKUP(B630,Batches!A:A,Batches!D:D))</f>
        <v/>
      </c>
    </row>
    <row r="631">
      <c r="E631">
        <f>IF(OR(B631="",D631=""),"",D631*XLOOKUP(B631,Batches!A:A,Batches!D:D))</f>
        <v/>
      </c>
    </row>
    <row r="632">
      <c r="E632">
        <f>IF(OR(B632="",D632=""),"",D632*XLOOKUP(B632,Batches!A:A,Batches!D:D))</f>
        <v/>
      </c>
    </row>
    <row r="633">
      <c r="E633">
        <f>IF(OR(B633="",D633=""),"",D633*XLOOKUP(B633,Batches!A:A,Batches!D:D))</f>
        <v/>
      </c>
    </row>
    <row r="634">
      <c r="E634">
        <f>IF(OR(B634="",D634=""),"",D634*XLOOKUP(B634,Batches!A:A,Batches!D:D))</f>
        <v/>
      </c>
    </row>
    <row r="635">
      <c r="E635">
        <f>IF(OR(B635="",D635=""),"",D635*XLOOKUP(B635,Batches!A:A,Batches!D:D))</f>
        <v/>
      </c>
    </row>
    <row r="636">
      <c r="E636">
        <f>IF(OR(B636="",D636=""),"",D636*XLOOKUP(B636,Batches!A:A,Batches!D:D))</f>
        <v/>
      </c>
    </row>
    <row r="637">
      <c r="E637">
        <f>IF(OR(B637="",D637=""),"",D637*XLOOKUP(B637,Batches!A:A,Batches!D:D))</f>
        <v/>
      </c>
    </row>
    <row r="638">
      <c r="E638">
        <f>IF(OR(B638="",D638=""),"",D638*XLOOKUP(B638,Batches!A:A,Batches!D:D))</f>
        <v/>
      </c>
    </row>
    <row r="639">
      <c r="E639">
        <f>IF(OR(B639="",D639=""),"",D639*XLOOKUP(B639,Batches!A:A,Batches!D:D))</f>
        <v/>
      </c>
    </row>
    <row r="640">
      <c r="E640">
        <f>IF(OR(B640="",D640=""),"",D640*XLOOKUP(B640,Batches!A:A,Batches!D:D))</f>
        <v/>
      </c>
    </row>
    <row r="641">
      <c r="E641">
        <f>IF(OR(B641="",D641=""),"",D641*XLOOKUP(B641,Batches!A:A,Batches!D:D))</f>
        <v/>
      </c>
    </row>
    <row r="642">
      <c r="E642">
        <f>IF(OR(B642="",D642=""),"",D642*XLOOKUP(B642,Batches!A:A,Batches!D:D))</f>
        <v/>
      </c>
    </row>
    <row r="643">
      <c r="E643">
        <f>IF(OR(B643="",D643=""),"",D643*XLOOKUP(B643,Batches!A:A,Batches!D:D))</f>
        <v/>
      </c>
    </row>
    <row r="644">
      <c r="E644">
        <f>IF(OR(B644="",D644=""),"",D644*XLOOKUP(B644,Batches!A:A,Batches!D:D))</f>
        <v/>
      </c>
    </row>
    <row r="645">
      <c r="E645">
        <f>IF(OR(B645="",D645=""),"",D645*XLOOKUP(B645,Batches!A:A,Batches!D:D))</f>
        <v/>
      </c>
    </row>
    <row r="646">
      <c r="E646">
        <f>IF(OR(B646="",D646=""),"",D646*XLOOKUP(B646,Batches!A:A,Batches!D:D))</f>
        <v/>
      </c>
    </row>
    <row r="647">
      <c r="E647">
        <f>IF(OR(B647="",D647=""),"",D647*XLOOKUP(B647,Batches!A:A,Batches!D:D))</f>
        <v/>
      </c>
    </row>
    <row r="648">
      <c r="E648">
        <f>IF(OR(B648="",D648=""),"",D648*XLOOKUP(B648,Batches!A:A,Batches!D:D))</f>
        <v/>
      </c>
    </row>
    <row r="649">
      <c r="E649">
        <f>IF(OR(B649="",D649=""),"",D649*XLOOKUP(B649,Batches!A:A,Batches!D:D))</f>
        <v/>
      </c>
    </row>
    <row r="650">
      <c r="E650">
        <f>IF(OR(B650="",D650=""),"",D650*XLOOKUP(B650,Batches!A:A,Batches!D:D))</f>
        <v/>
      </c>
    </row>
    <row r="651">
      <c r="E651">
        <f>IF(OR(B651="",D651=""),"",D651*XLOOKUP(B651,Batches!A:A,Batches!D:D))</f>
        <v/>
      </c>
    </row>
    <row r="652">
      <c r="E652">
        <f>IF(OR(B652="",D652=""),"",D652*XLOOKUP(B652,Batches!A:A,Batches!D:D))</f>
        <v/>
      </c>
    </row>
    <row r="653">
      <c r="E653">
        <f>IF(OR(B653="",D653=""),"",D653*XLOOKUP(B653,Batches!A:A,Batches!D:D))</f>
        <v/>
      </c>
    </row>
    <row r="654">
      <c r="E654">
        <f>IF(OR(B654="",D654=""),"",D654*XLOOKUP(B654,Batches!A:A,Batches!D:D))</f>
        <v/>
      </c>
    </row>
    <row r="655">
      <c r="E655">
        <f>IF(OR(B655="",D655=""),"",D655*XLOOKUP(B655,Batches!A:A,Batches!D:D))</f>
        <v/>
      </c>
    </row>
    <row r="656">
      <c r="E656">
        <f>IF(OR(B656="",D656=""),"",D656*XLOOKUP(B656,Batches!A:A,Batches!D:D))</f>
        <v/>
      </c>
    </row>
    <row r="657">
      <c r="E657">
        <f>IF(OR(B657="",D657=""),"",D657*XLOOKUP(B657,Batches!A:A,Batches!D:D))</f>
        <v/>
      </c>
    </row>
    <row r="658">
      <c r="E658">
        <f>IF(OR(B658="",D658=""),"",D658*XLOOKUP(B658,Batches!A:A,Batches!D:D))</f>
        <v/>
      </c>
    </row>
    <row r="659">
      <c r="E659">
        <f>IF(OR(B659="",D659=""),"",D659*XLOOKUP(B659,Batches!A:A,Batches!D:D))</f>
        <v/>
      </c>
    </row>
    <row r="660">
      <c r="E660">
        <f>IF(OR(B660="",D660=""),"",D660*XLOOKUP(B660,Batches!A:A,Batches!D:D))</f>
        <v/>
      </c>
    </row>
    <row r="661">
      <c r="E661">
        <f>IF(OR(B661="",D661=""),"",D661*XLOOKUP(B661,Batches!A:A,Batches!D:D))</f>
        <v/>
      </c>
    </row>
    <row r="662">
      <c r="E662">
        <f>IF(OR(B662="",D662=""),"",D662*XLOOKUP(B662,Batches!A:A,Batches!D:D))</f>
        <v/>
      </c>
    </row>
    <row r="663">
      <c r="E663">
        <f>IF(OR(B663="",D663=""),"",D663*XLOOKUP(B663,Batches!A:A,Batches!D:D))</f>
        <v/>
      </c>
    </row>
    <row r="664">
      <c r="E664">
        <f>IF(OR(B664="",D664=""),"",D664*XLOOKUP(B664,Batches!A:A,Batches!D:D))</f>
        <v/>
      </c>
    </row>
    <row r="665">
      <c r="E665">
        <f>IF(OR(B665="",D665=""),"",D665*XLOOKUP(B665,Batches!A:A,Batches!D:D))</f>
        <v/>
      </c>
    </row>
    <row r="666">
      <c r="E666">
        <f>IF(OR(B666="",D666=""),"",D666*XLOOKUP(B666,Batches!A:A,Batches!D:D))</f>
        <v/>
      </c>
    </row>
    <row r="667">
      <c r="E667">
        <f>IF(OR(B667="",D667=""),"",D667*XLOOKUP(B667,Batches!A:A,Batches!D:D))</f>
        <v/>
      </c>
    </row>
    <row r="668">
      <c r="E668">
        <f>IF(OR(B668="",D668=""),"",D668*XLOOKUP(B668,Batches!A:A,Batches!D:D))</f>
        <v/>
      </c>
    </row>
    <row r="669">
      <c r="E669">
        <f>IF(OR(B669="",D669=""),"",D669*XLOOKUP(B669,Batches!A:A,Batches!D:D))</f>
        <v/>
      </c>
    </row>
    <row r="670">
      <c r="E670">
        <f>IF(OR(B670="",D670=""),"",D670*XLOOKUP(B670,Batches!A:A,Batches!D:D))</f>
        <v/>
      </c>
    </row>
    <row r="671">
      <c r="E671">
        <f>IF(OR(B671="",D671=""),"",D671*XLOOKUP(B671,Batches!A:A,Batches!D:D))</f>
        <v/>
      </c>
    </row>
    <row r="672">
      <c r="E672">
        <f>IF(OR(B672="",D672=""),"",D672*XLOOKUP(B672,Batches!A:A,Batches!D:D))</f>
        <v/>
      </c>
    </row>
    <row r="673">
      <c r="E673">
        <f>IF(OR(B673="",D673=""),"",D673*XLOOKUP(B673,Batches!A:A,Batches!D:D))</f>
        <v/>
      </c>
    </row>
    <row r="674">
      <c r="E674">
        <f>IF(OR(B674="",D674=""),"",D674*XLOOKUP(B674,Batches!A:A,Batches!D:D))</f>
        <v/>
      </c>
    </row>
    <row r="675">
      <c r="E675">
        <f>IF(OR(B675="",D675=""),"",D675*XLOOKUP(B675,Batches!A:A,Batches!D:D))</f>
        <v/>
      </c>
    </row>
    <row r="676">
      <c r="E676">
        <f>IF(OR(B676="",D676=""),"",D676*XLOOKUP(B676,Batches!A:A,Batches!D:D))</f>
        <v/>
      </c>
    </row>
    <row r="677">
      <c r="E677">
        <f>IF(OR(B677="",D677=""),"",D677*XLOOKUP(B677,Batches!A:A,Batches!D:D))</f>
        <v/>
      </c>
    </row>
    <row r="678">
      <c r="E678">
        <f>IF(OR(B678="",D678=""),"",D678*XLOOKUP(B678,Batches!A:A,Batches!D:D))</f>
        <v/>
      </c>
    </row>
    <row r="679">
      <c r="E679">
        <f>IF(OR(B679="",D679=""),"",D679*XLOOKUP(B679,Batches!A:A,Batches!D:D))</f>
        <v/>
      </c>
    </row>
    <row r="680">
      <c r="E680">
        <f>IF(OR(B680="",D680=""),"",D680*XLOOKUP(B680,Batches!A:A,Batches!D:D))</f>
        <v/>
      </c>
    </row>
    <row r="681">
      <c r="E681">
        <f>IF(OR(B681="",D681=""),"",D681*XLOOKUP(B681,Batches!A:A,Batches!D:D))</f>
        <v/>
      </c>
    </row>
    <row r="682">
      <c r="E682">
        <f>IF(OR(B682="",D682=""),"",D682*XLOOKUP(B682,Batches!A:A,Batches!D:D))</f>
        <v/>
      </c>
    </row>
    <row r="683">
      <c r="E683">
        <f>IF(OR(B683="",D683=""),"",D683*XLOOKUP(B683,Batches!A:A,Batches!D:D))</f>
        <v/>
      </c>
    </row>
    <row r="684">
      <c r="E684">
        <f>IF(OR(B684="",D684=""),"",D684*XLOOKUP(B684,Batches!A:A,Batches!D:D))</f>
        <v/>
      </c>
    </row>
    <row r="685">
      <c r="E685">
        <f>IF(OR(B685="",D685=""),"",D685*XLOOKUP(B685,Batches!A:A,Batches!D:D))</f>
        <v/>
      </c>
    </row>
    <row r="686">
      <c r="E686">
        <f>IF(OR(B686="",D686=""),"",D686*XLOOKUP(B686,Batches!A:A,Batches!D:D))</f>
        <v/>
      </c>
    </row>
    <row r="687">
      <c r="E687">
        <f>IF(OR(B687="",D687=""),"",D687*XLOOKUP(B687,Batches!A:A,Batches!D:D))</f>
        <v/>
      </c>
    </row>
    <row r="688">
      <c r="E688">
        <f>IF(OR(B688="",D688=""),"",D688*XLOOKUP(B688,Batches!A:A,Batches!D:D))</f>
        <v/>
      </c>
    </row>
    <row r="689">
      <c r="E689">
        <f>IF(OR(B689="",D689=""),"",D689*XLOOKUP(B689,Batches!A:A,Batches!D:D))</f>
        <v/>
      </c>
    </row>
    <row r="690">
      <c r="E690">
        <f>IF(OR(B690="",D690=""),"",D690*XLOOKUP(B690,Batches!A:A,Batches!D:D))</f>
        <v/>
      </c>
    </row>
    <row r="691">
      <c r="E691">
        <f>IF(OR(B691="",D691=""),"",D691*XLOOKUP(B691,Batches!A:A,Batches!D:D))</f>
        <v/>
      </c>
    </row>
    <row r="692">
      <c r="E692">
        <f>IF(OR(B692="",D692=""),"",D692*XLOOKUP(B692,Batches!A:A,Batches!D:D))</f>
        <v/>
      </c>
    </row>
    <row r="693">
      <c r="E693">
        <f>IF(OR(B693="",D693=""),"",D693*XLOOKUP(B693,Batches!A:A,Batches!D:D))</f>
        <v/>
      </c>
    </row>
    <row r="694">
      <c r="E694">
        <f>IF(OR(B694="",D694=""),"",D694*XLOOKUP(B694,Batches!A:A,Batches!D:D))</f>
        <v/>
      </c>
    </row>
    <row r="695">
      <c r="E695">
        <f>IF(OR(B695="",D695=""),"",D695*XLOOKUP(B695,Batches!A:A,Batches!D:D))</f>
        <v/>
      </c>
    </row>
    <row r="696">
      <c r="E696">
        <f>IF(OR(B696="",D696=""),"",D696*XLOOKUP(B696,Batches!A:A,Batches!D:D))</f>
        <v/>
      </c>
    </row>
    <row r="697">
      <c r="E697">
        <f>IF(OR(B697="",D697=""),"",D697*XLOOKUP(B697,Batches!A:A,Batches!D:D))</f>
        <v/>
      </c>
    </row>
    <row r="698">
      <c r="E698">
        <f>IF(OR(B698="",D698=""),"",D698*XLOOKUP(B698,Batches!A:A,Batches!D:D))</f>
        <v/>
      </c>
    </row>
    <row r="699">
      <c r="E699">
        <f>IF(OR(B699="",D699=""),"",D699*XLOOKUP(B699,Batches!A:A,Batches!D:D))</f>
        <v/>
      </c>
    </row>
    <row r="700">
      <c r="E700">
        <f>IF(OR(B700="",D700=""),"",D700*XLOOKUP(B700,Batches!A:A,Batches!D:D))</f>
        <v/>
      </c>
    </row>
    <row r="701">
      <c r="E701">
        <f>IF(OR(B701="",D701=""),"",D701*XLOOKUP(B701,Batches!A:A,Batches!D:D))</f>
        <v/>
      </c>
    </row>
    <row r="702">
      <c r="E702">
        <f>IF(OR(B702="",D702=""),"",D702*XLOOKUP(B702,Batches!A:A,Batches!D:D))</f>
        <v/>
      </c>
    </row>
    <row r="703">
      <c r="E703">
        <f>IF(OR(B703="",D703=""),"",D703*XLOOKUP(B703,Batches!A:A,Batches!D:D))</f>
        <v/>
      </c>
    </row>
    <row r="704">
      <c r="E704">
        <f>IF(OR(B704="",D704=""),"",D704*XLOOKUP(B704,Batches!A:A,Batches!D:D))</f>
        <v/>
      </c>
    </row>
    <row r="705">
      <c r="E705">
        <f>IF(OR(B705="",D705=""),"",D705*XLOOKUP(B705,Batches!A:A,Batches!D:D))</f>
        <v/>
      </c>
    </row>
    <row r="706">
      <c r="E706">
        <f>IF(OR(B706="",D706=""),"",D706*XLOOKUP(B706,Batches!A:A,Batches!D:D))</f>
        <v/>
      </c>
    </row>
    <row r="707">
      <c r="E707">
        <f>IF(OR(B707="",D707=""),"",D707*XLOOKUP(B707,Batches!A:A,Batches!D:D))</f>
        <v/>
      </c>
    </row>
    <row r="708">
      <c r="E708">
        <f>IF(OR(B708="",D708=""),"",D708*XLOOKUP(B708,Batches!A:A,Batches!D:D))</f>
        <v/>
      </c>
    </row>
    <row r="709">
      <c r="E709">
        <f>IF(OR(B709="",D709=""),"",D709*XLOOKUP(B709,Batches!A:A,Batches!D:D))</f>
        <v/>
      </c>
    </row>
    <row r="710">
      <c r="E710">
        <f>IF(OR(B710="",D710=""),"",D710*XLOOKUP(B710,Batches!A:A,Batches!D:D))</f>
        <v/>
      </c>
    </row>
    <row r="711">
      <c r="E711">
        <f>IF(OR(B711="",D711=""),"",D711*XLOOKUP(B711,Batches!A:A,Batches!D:D))</f>
        <v/>
      </c>
    </row>
    <row r="712">
      <c r="E712">
        <f>IF(OR(B712="",D712=""),"",D712*XLOOKUP(B712,Batches!A:A,Batches!D:D))</f>
        <v/>
      </c>
    </row>
    <row r="713">
      <c r="E713">
        <f>IF(OR(B713="",D713=""),"",D713*XLOOKUP(B713,Batches!A:A,Batches!D:D))</f>
        <v/>
      </c>
    </row>
    <row r="714">
      <c r="E714">
        <f>IF(OR(B714="",D714=""),"",D714*XLOOKUP(B714,Batches!A:A,Batches!D:D))</f>
        <v/>
      </c>
    </row>
    <row r="715">
      <c r="E715">
        <f>IF(OR(B715="",D715=""),"",D715*XLOOKUP(B715,Batches!A:A,Batches!D:D))</f>
        <v/>
      </c>
    </row>
    <row r="716">
      <c r="E716">
        <f>IF(OR(B716="",D716=""),"",D716*XLOOKUP(B716,Batches!A:A,Batches!D:D))</f>
        <v/>
      </c>
    </row>
    <row r="717">
      <c r="E717">
        <f>IF(OR(B717="",D717=""),"",D717*XLOOKUP(B717,Batches!A:A,Batches!D:D))</f>
        <v/>
      </c>
    </row>
    <row r="718">
      <c r="E718">
        <f>IF(OR(B718="",D718=""),"",D718*XLOOKUP(B718,Batches!A:A,Batches!D:D))</f>
        <v/>
      </c>
    </row>
    <row r="719">
      <c r="E719">
        <f>IF(OR(B719="",D719=""),"",D719*XLOOKUP(B719,Batches!A:A,Batches!D:D))</f>
        <v/>
      </c>
    </row>
    <row r="720">
      <c r="E720">
        <f>IF(OR(B720="",D720=""),"",D720*XLOOKUP(B720,Batches!A:A,Batches!D:D))</f>
        <v/>
      </c>
    </row>
    <row r="721">
      <c r="E721">
        <f>IF(OR(B721="",D721=""),"",D721*XLOOKUP(B721,Batches!A:A,Batches!D:D))</f>
        <v/>
      </c>
    </row>
    <row r="722">
      <c r="E722">
        <f>IF(OR(B722="",D722=""),"",D722*XLOOKUP(B722,Batches!A:A,Batches!D:D))</f>
        <v/>
      </c>
    </row>
    <row r="723">
      <c r="E723">
        <f>IF(OR(B723="",D723=""),"",D723*XLOOKUP(B723,Batches!A:A,Batches!D:D))</f>
        <v/>
      </c>
    </row>
    <row r="724">
      <c r="E724">
        <f>IF(OR(B724="",D724=""),"",D724*XLOOKUP(B724,Batches!A:A,Batches!D:D))</f>
        <v/>
      </c>
    </row>
    <row r="725">
      <c r="E725">
        <f>IF(OR(B725="",D725=""),"",D725*XLOOKUP(B725,Batches!A:A,Batches!D:D))</f>
        <v/>
      </c>
    </row>
    <row r="726">
      <c r="E726">
        <f>IF(OR(B726="",D726=""),"",D726*XLOOKUP(B726,Batches!A:A,Batches!D:D))</f>
        <v/>
      </c>
    </row>
    <row r="727">
      <c r="E727">
        <f>IF(OR(B727="",D727=""),"",D727*XLOOKUP(B727,Batches!A:A,Batches!D:D))</f>
        <v/>
      </c>
    </row>
    <row r="728">
      <c r="E728">
        <f>IF(OR(B728="",D728=""),"",D728*XLOOKUP(B728,Batches!A:A,Batches!D:D))</f>
        <v/>
      </c>
    </row>
    <row r="729">
      <c r="E729">
        <f>IF(OR(B729="",D729=""),"",D729*XLOOKUP(B729,Batches!A:A,Batches!D:D))</f>
        <v/>
      </c>
    </row>
    <row r="730">
      <c r="E730">
        <f>IF(OR(B730="",D730=""),"",D730*XLOOKUP(B730,Batches!A:A,Batches!D:D))</f>
        <v/>
      </c>
    </row>
    <row r="731">
      <c r="E731">
        <f>IF(OR(B731="",D731=""),"",D731*XLOOKUP(B731,Batches!A:A,Batches!D:D))</f>
        <v/>
      </c>
    </row>
    <row r="732">
      <c r="E732">
        <f>IF(OR(B732="",D732=""),"",D732*XLOOKUP(B732,Batches!A:A,Batches!D:D))</f>
        <v/>
      </c>
    </row>
    <row r="733">
      <c r="E733">
        <f>IF(OR(B733="",D733=""),"",D733*XLOOKUP(B733,Batches!A:A,Batches!D:D))</f>
        <v/>
      </c>
    </row>
    <row r="734">
      <c r="E734">
        <f>IF(OR(B734="",D734=""),"",D734*XLOOKUP(B734,Batches!A:A,Batches!D:D))</f>
        <v/>
      </c>
    </row>
    <row r="735">
      <c r="E735">
        <f>IF(OR(B735="",D735=""),"",D735*XLOOKUP(B735,Batches!A:A,Batches!D:D))</f>
        <v/>
      </c>
    </row>
    <row r="736">
      <c r="E736">
        <f>IF(OR(B736="",D736=""),"",D736*XLOOKUP(B736,Batches!A:A,Batches!D:D))</f>
        <v/>
      </c>
    </row>
    <row r="737">
      <c r="E737">
        <f>IF(OR(B737="",D737=""),"",D737*XLOOKUP(B737,Batches!A:A,Batches!D:D))</f>
        <v/>
      </c>
    </row>
    <row r="738">
      <c r="E738">
        <f>IF(OR(B738="",D738=""),"",D738*XLOOKUP(B738,Batches!A:A,Batches!D:D))</f>
        <v/>
      </c>
    </row>
    <row r="739">
      <c r="E739">
        <f>IF(OR(B739="",D739=""),"",D739*XLOOKUP(B739,Batches!A:A,Batches!D:D))</f>
        <v/>
      </c>
    </row>
    <row r="740">
      <c r="E740">
        <f>IF(OR(B740="",D740=""),"",D740*XLOOKUP(B740,Batches!A:A,Batches!D:D))</f>
        <v/>
      </c>
    </row>
    <row r="741">
      <c r="E741">
        <f>IF(OR(B741="",D741=""),"",D741*XLOOKUP(B741,Batches!A:A,Batches!D:D))</f>
        <v/>
      </c>
    </row>
    <row r="742">
      <c r="E742">
        <f>IF(OR(B742="",D742=""),"",D742*XLOOKUP(B742,Batches!A:A,Batches!D:D))</f>
        <v/>
      </c>
    </row>
    <row r="743">
      <c r="E743">
        <f>IF(OR(B743="",D743=""),"",D743*XLOOKUP(B743,Batches!A:A,Batches!D:D))</f>
        <v/>
      </c>
    </row>
    <row r="744">
      <c r="E744">
        <f>IF(OR(B744="",D744=""),"",D744*XLOOKUP(B744,Batches!A:A,Batches!D:D))</f>
        <v/>
      </c>
    </row>
    <row r="745">
      <c r="E745">
        <f>IF(OR(B745="",D745=""),"",D745*XLOOKUP(B745,Batches!A:A,Batches!D:D))</f>
        <v/>
      </c>
    </row>
    <row r="746">
      <c r="E746">
        <f>IF(OR(B746="",D746=""),"",D746*XLOOKUP(B746,Batches!A:A,Batches!D:D))</f>
        <v/>
      </c>
    </row>
    <row r="747">
      <c r="E747">
        <f>IF(OR(B747="",D747=""),"",D747*XLOOKUP(B747,Batches!A:A,Batches!D:D))</f>
        <v/>
      </c>
    </row>
    <row r="748">
      <c r="E748">
        <f>IF(OR(B748="",D748=""),"",D748*XLOOKUP(B748,Batches!A:A,Batches!D:D))</f>
        <v/>
      </c>
    </row>
    <row r="749">
      <c r="E749">
        <f>IF(OR(B749="",D749=""),"",D749*XLOOKUP(B749,Batches!A:A,Batches!D:D))</f>
        <v/>
      </c>
    </row>
    <row r="750">
      <c r="E750">
        <f>IF(OR(B750="",D750=""),"",D750*XLOOKUP(B750,Batches!A:A,Batches!D:D))</f>
        <v/>
      </c>
    </row>
    <row r="751">
      <c r="E751">
        <f>IF(OR(B751="",D751=""),"",D751*XLOOKUP(B751,Batches!A:A,Batches!D:D))</f>
        <v/>
      </c>
    </row>
    <row r="752">
      <c r="E752">
        <f>IF(OR(B752="",D752=""),"",D752*XLOOKUP(B752,Batches!A:A,Batches!D:D))</f>
        <v/>
      </c>
    </row>
    <row r="753">
      <c r="E753">
        <f>IF(OR(B753="",D753=""),"",D753*XLOOKUP(B753,Batches!A:A,Batches!D:D))</f>
        <v/>
      </c>
    </row>
    <row r="754">
      <c r="E754">
        <f>IF(OR(B754="",D754=""),"",D754*XLOOKUP(B754,Batches!A:A,Batches!D:D))</f>
        <v/>
      </c>
    </row>
    <row r="755">
      <c r="E755">
        <f>IF(OR(B755="",D755=""),"",D755*XLOOKUP(B755,Batches!A:A,Batches!D:D))</f>
        <v/>
      </c>
    </row>
    <row r="756">
      <c r="E756">
        <f>IF(OR(B756="",D756=""),"",D756*XLOOKUP(B756,Batches!A:A,Batches!D:D))</f>
        <v/>
      </c>
    </row>
    <row r="757">
      <c r="E757">
        <f>IF(OR(B757="",D757=""),"",D757*XLOOKUP(B757,Batches!A:A,Batches!D:D))</f>
        <v/>
      </c>
    </row>
    <row r="758">
      <c r="E758">
        <f>IF(OR(B758="",D758=""),"",D758*XLOOKUP(B758,Batches!A:A,Batches!D:D))</f>
        <v/>
      </c>
    </row>
    <row r="759">
      <c r="E759">
        <f>IF(OR(B759="",D759=""),"",D759*XLOOKUP(B759,Batches!A:A,Batches!D:D))</f>
        <v/>
      </c>
    </row>
    <row r="760">
      <c r="E760">
        <f>IF(OR(B760="",D760=""),"",D760*XLOOKUP(B760,Batches!A:A,Batches!D:D))</f>
        <v/>
      </c>
    </row>
    <row r="761">
      <c r="E761">
        <f>IF(OR(B761="",D761=""),"",D761*XLOOKUP(B761,Batches!A:A,Batches!D:D))</f>
        <v/>
      </c>
    </row>
    <row r="762">
      <c r="E762">
        <f>IF(OR(B762="",D762=""),"",D762*XLOOKUP(B762,Batches!A:A,Batches!D:D))</f>
        <v/>
      </c>
    </row>
    <row r="763">
      <c r="E763">
        <f>IF(OR(B763="",D763=""),"",D763*XLOOKUP(B763,Batches!A:A,Batches!D:D))</f>
        <v/>
      </c>
    </row>
    <row r="764">
      <c r="E764">
        <f>IF(OR(B764="",D764=""),"",D764*XLOOKUP(B764,Batches!A:A,Batches!D:D))</f>
        <v/>
      </c>
    </row>
    <row r="765">
      <c r="E765">
        <f>IF(OR(B765="",D765=""),"",D765*XLOOKUP(B765,Batches!A:A,Batches!D:D))</f>
        <v/>
      </c>
    </row>
    <row r="766">
      <c r="E766">
        <f>IF(OR(B766="",D766=""),"",D766*XLOOKUP(B766,Batches!A:A,Batches!D:D))</f>
        <v/>
      </c>
    </row>
    <row r="767">
      <c r="E767">
        <f>IF(OR(B767="",D767=""),"",D767*XLOOKUP(B767,Batches!A:A,Batches!D:D))</f>
        <v/>
      </c>
    </row>
    <row r="768">
      <c r="E768">
        <f>IF(OR(B768="",D768=""),"",D768*XLOOKUP(B768,Batches!A:A,Batches!D:D))</f>
        <v/>
      </c>
    </row>
    <row r="769">
      <c r="E769">
        <f>IF(OR(B769="",D769=""),"",D769*XLOOKUP(B769,Batches!A:A,Batches!D:D))</f>
        <v/>
      </c>
    </row>
    <row r="770">
      <c r="E770">
        <f>IF(OR(B770="",D770=""),"",D770*XLOOKUP(B770,Batches!A:A,Batches!D:D))</f>
        <v/>
      </c>
    </row>
    <row r="771">
      <c r="E771">
        <f>IF(OR(B771="",D771=""),"",D771*XLOOKUP(B771,Batches!A:A,Batches!D:D))</f>
        <v/>
      </c>
    </row>
    <row r="772">
      <c r="E772">
        <f>IF(OR(B772="",D772=""),"",D772*XLOOKUP(B772,Batches!A:A,Batches!D:D))</f>
        <v/>
      </c>
    </row>
    <row r="773">
      <c r="E773">
        <f>IF(OR(B773="",D773=""),"",D773*XLOOKUP(B773,Batches!A:A,Batches!D:D))</f>
        <v/>
      </c>
    </row>
    <row r="774">
      <c r="E774">
        <f>IF(OR(B774="",D774=""),"",D774*XLOOKUP(B774,Batches!A:A,Batches!D:D))</f>
        <v/>
      </c>
    </row>
    <row r="775">
      <c r="E775">
        <f>IF(OR(B775="",D775=""),"",D775*XLOOKUP(B775,Batches!A:A,Batches!D:D))</f>
        <v/>
      </c>
    </row>
    <row r="776">
      <c r="E776">
        <f>IF(OR(B776="",D776=""),"",D776*XLOOKUP(B776,Batches!A:A,Batches!D:D))</f>
        <v/>
      </c>
    </row>
    <row r="777">
      <c r="E777">
        <f>IF(OR(B777="",D777=""),"",D777*XLOOKUP(B777,Batches!A:A,Batches!D:D))</f>
        <v/>
      </c>
    </row>
    <row r="778">
      <c r="E778">
        <f>IF(OR(B778="",D778=""),"",D778*XLOOKUP(B778,Batches!A:A,Batches!D:D))</f>
        <v/>
      </c>
    </row>
    <row r="779">
      <c r="E779">
        <f>IF(OR(B779="",D779=""),"",D779*XLOOKUP(B779,Batches!A:A,Batches!D:D))</f>
        <v/>
      </c>
    </row>
    <row r="780">
      <c r="E780">
        <f>IF(OR(B780="",D780=""),"",D780*XLOOKUP(B780,Batches!A:A,Batches!D:D))</f>
        <v/>
      </c>
    </row>
    <row r="781">
      <c r="E781">
        <f>IF(OR(B781="",D781=""),"",D781*XLOOKUP(B781,Batches!A:A,Batches!D:D))</f>
        <v/>
      </c>
    </row>
    <row r="782">
      <c r="E782">
        <f>IF(OR(B782="",D782=""),"",D782*XLOOKUP(B782,Batches!A:A,Batches!D:D))</f>
        <v/>
      </c>
    </row>
    <row r="783">
      <c r="E783">
        <f>IF(OR(B783="",D783=""),"",D783*XLOOKUP(B783,Batches!A:A,Batches!D:D))</f>
        <v/>
      </c>
    </row>
    <row r="784">
      <c r="E784">
        <f>IF(OR(B784="",D784=""),"",D784*XLOOKUP(B784,Batches!A:A,Batches!D:D))</f>
        <v/>
      </c>
    </row>
    <row r="785">
      <c r="E785">
        <f>IF(OR(B785="",D785=""),"",D785*XLOOKUP(B785,Batches!A:A,Batches!D:D))</f>
        <v/>
      </c>
    </row>
    <row r="786">
      <c r="E786">
        <f>IF(OR(B786="",D786=""),"",D786*XLOOKUP(B786,Batches!A:A,Batches!D:D))</f>
        <v/>
      </c>
    </row>
    <row r="787">
      <c r="E787">
        <f>IF(OR(B787="",D787=""),"",D787*XLOOKUP(B787,Batches!A:A,Batches!D:D))</f>
        <v/>
      </c>
    </row>
    <row r="788">
      <c r="E788">
        <f>IF(OR(B788="",D788=""),"",D788*XLOOKUP(B788,Batches!A:A,Batches!D:D))</f>
        <v/>
      </c>
    </row>
    <row r="789">
      <c r="E789">
        <f>IF(OR(B789="",D789=""),"",D789*XLOOKUP(B789,Batches!A:A,Batches!D:D))</f>
        <v/>
      </c>
    </row>
    <row r="790">
      <c r="E790">
        <f>IF(OR(B790="",D790=""),"",D790*XLOOKUP(B790,Batches!A:A,Batches!D:D))</f>
        <v/>
      </c>
    </row>
    <row r="791">
      <c r="E791">
        <f>IF(OR(B791="",D791=""),"",D791*XLOOKUP(B791,Batches!A:A,Batches!D:D))</f>
        <v/>
      </c>
    </row>
    <row r="792">
      <c r="E792">
        <f>IF(OR(B792="",D792=""),"",D792*XLOOKUP(B792,Batches!A:A,Batches!D:D))</f>
        <v/>
      </c>
    </row>
    <row r="793">
      <c r="E793">
        <f>IF(OR(B793="",D793=""),"",D793*XLOOKUP(B793,Batches!A:A,Batches!D:D))</f>
        <v/>
      </c>
    </row>
    <row r="794">
      <c r="E794">
        <f>IF(OR(B794="",D794=""),"",D794*XLOOKUP(B794,Batches!A:A,Batches!D:D))</f>
        <v/>
      </c>
    </row>
    <row r="795">
      <c r="E795">
        <f>IF(OR(B795="",D795=""),"",D795*XLOOKUP(B795,Batches!A:A,Batches!D:D))</f>
        <v/>
      </c>
    </row>
    <row r="796">
      <c r="E796">
        <f>IF(OR(B796="",D796=""),"",D796*XLOOKUP(B796,Batches!A:A,Batches!D:D))</f>
        <v/>
      </c>
    </row>
    <row r="797">
      <c r="E797">
        <f>IF(OR(B797="",D797=""),"",D797*XLOOKUP(B797,Batches!A:A,Batches!D:D))</f>
        <v/>
      </c>
    </row>
    <row r="798">
      <c r="E798">
        <f>IF(OR(B798="",D798=""),"",D798*XLOOKUP(B798,Batches!A:A,Batches!D:D))</f>
        <v/>
      </c>
    </row>
    <row r="799">
      <c r="E799">
        <f>IF(OR(B799="",D799=""),"",D799*XLOOKUP(B799,Batches!A:A,Batches!D:D))</f>
        <v/>
      </c>
    </row>
    <row r="800">
      <c r="E800">
        <f>IF(OR(B800="",D800=""),"",D800*XLOOKUP(B800,Batches!A:A,Batches!D:D))</f>
        <v/>
      </c>
    </row>
    <row r="801">
      <c r="E801">
        <f>IF(OR(B801="",D801=""),"",D801*XLOOKUP(B801,Batches!A:A,Batches!D:D))</f>
        <v/>
      </c>
    </row>
    <row r="802">
      <c r="E802">
        <f>IF(OR(B802="",D802=""),"",D802*XLOOKUP(B802,Batches!A:A,Batches!D:D))</f>
        <v/>
      </c>
    </row>
    <row r="803">
      <c r="E803">
        <f>IF(OR(B803="",D803=""),"",D803*XLOOKUP(B803,Batches!A:A,Batches!D:D))</f>
        <v/>
      </c>
    </row>
    <row r="804">
      <c r="E804">
        <f>IF(OR(B804="",D804=""),"",D804*XLOOKUP(B804,Batches!A:A,Batches!D:D))</f>
        <v/>
      </c>
    </row>
    <row r="805">
      <c r="E805">
        <f>IF(OR(B805="",D805=""),"",D805*XLOOKUP(B805,Batches!A:A,Batches!D:D))</f>
        <v/>
      </c>
    </row>
    <row r="806">
      <c r="E806">
        <f>IF(OR(B806="",D806=""),"",D806*XLOOKUP(B806,Batches!A:A,Batches!D:D))</f>
        <v/>
      </c>
    </row>
    <row r="807">
      <c r="E807">
        <f>IF(OR(B807="",D807=""),"",D807*XLOOKUP(B807,Batches!A:A,Batches!D:D))</f>
        <v/>
      </c>
    </row>
    <row r="808">
      <c r="E808">
        <f>IF(OR(B808="",D808=""),"",D808*XLOOKUP(B808,Batches!A:A,Batches!D:D))</f>
        <v/>
      </c>
    </row>
    <row r="809">
      <c r="E809">
        <f>IF(OR(B809="",D809=""),"",D809*XLOOKUP(B809,Batches!A:A,Batches!D:D))</f>
        <v/>
      </c>
    </row>
    <row r="810">
      <c r="E810">
        <f>IF(OR(B810="",D810=""),"",D810*XLOOKUP(B810,Batches!A:A,Batches!D:D))</f>
        <v/>
      </c>
    </row>
    <row r="811">
      <c r="E811">
        <f>IF(OR(B811="",D811=""),"",D811*XLOOKUP(B811,Batches!A:A,Batches!D:D))</f>
        <v/>
      </c>
    </row>
    <row r="812">
      <c r="E812">
        <f>IF(OR(B812="",D812=""),"",D812*XLOOKUP(B812,Batches!A:A,Batches!D:D))</f>
        <v/>
      </c>
    </row>
    <row r="813">
      <c r="E813">
        <f>IF(OR(B813="",D813=""),"",D813*XLOOKUP(B813,Batches!A:A,Batches!D:D))</f>
        <v/>
      </c>
    </row>
    <row r="814">
      <c r="E814">
        <f>IF(OR(B814="",D814=""),"",D814*XLOOKUP(B814,Batches!A:A,Batches!D:D))</f>
        <v/>
      </c>
    </row>
    <row r="815">
      <c r="E815">
        <f>IF(OR(B815="",D815=""),"",D815*XLOOKUP(B815,Batches!A:A,Batches!D:D))</f>
        <v/>
      </c>
    </row>
    <row r="816">
      <c r="E816">
        <f>IF(OR(B816="",D816=""),"",D816*XLOOKUP(B816,Batches!A:A,Batches!D:D))</f>
        <v/>
      </c>
    </row>
    <row r="817">
      <c r="E817">
        <f>IF(OR(B817="",D817=""),"",D817*XLOOKUP(B817,Batches!A:A,Batches!D:D))</f>
        <v/>
      </c>
    </row>
    <row r="818">
      <c r="E818">
        <f>IF(OR(B818="",D818=""),"",D818*XLOOKUP(B818,Batches!A:A,Batches!D:D))</f>
        <v/>
      </c>
    </row>
    <row r="819">
      <c r="E819">
        <f>IF(OR(B819="",D819=""),"",D819*XLOOKUP(B819,Batches!A:A,Batches!D:D))</f>
        <v/>
      </c>
    </row>
    <row r="820">
      <c r="E820">
        <f>IF(OR(B820="",D820=""),"",D820*XLOOKUP(B820,Batches!A:A,Batches!D:D))</f>
        <v/>
      </c>
    </row>
    <row r="821">
      <c r="E821">
        <f>IF(OR(B821="",D821=""),"",D821*XLOOKUP(B821,Batches!A:A,Batches!D:D))</f>
        <v/>
      </c>
    </row>
    <row r="822">
      <c r="E822">
        <f>IF(OR(B822="",D822=""),"",D822*XLOOKUP(B822,Batches!A:A,Batches!D:D))</f>
        <v/>
      </c>
    </row>
    <row r="823">
      <c r="E823">
        <f>IF(OR(B823="",D823=""),"",D823*XLOOKUP(B823,Batches!A:A,Batches!D:D))</f>
        <v/>
      </c>
    </row>
    <row r="824">
      <c r="E824">
        <f>IF(OR(B824="",D824=""),"",D824*XLOOKUP(B824,Batches!A:A,Batches!D:D))</f>
        <v/>
      </c>
    </row>
    <row r="825">
      <c r="E825">
        <f>IF(OR(B825="",D825=""),"",D825*XLOOKUP(B825,Batches!A:A,Batches!D:D))</f>
        <v/>
      </c>
    </row>
    <row r="826">
      <c r="E826">
        <f>IF(OR(B826="",D826=""),"",D826*XLOOKUP(B826,Batches!A:A,Batches!D:D))</f>
        <v/>
      </c>
    </row>
    <row r="827">
      <c r="E827">
        <f>IF(OR(B827="",D827=""),"",D827*XLOOKUP(B827,Batches!A:A,Batches!D:D))</f>
        <v/>
      </c>
    </row>
    <row r="828">
      <c r="E828">
        <f>IF(OR(B828="",D828=""),"",D828*XLOOKUP(B828,Batches!A:A,Batches!D:D))</f>
        <v/>
      </c>
    </row>
    <row r="829">
      <c r="E829">
        <f>IF(OR(B829="",D829=""),"",D829*XLOOKUP(B829,Batches!A:A,Batches!D:D))</f>
        <v/>
      </c>
    </row>
    <row r="830">
      <c r="E830">
        <f>IF(OR(B830="",D830=""),"",D830*XLOOKUP(B830,Batches!A:A,Batches!D:D))</f>
        <v/>
      </c>
    </row>
    <row r="831">
      <c r="E831">
        <f>IF(OR(B831="",D831=""),"",D831*XLOOKUP(B831,Batches!A:A,Batches!D:D))</f>
        <v/>
      </c>
    </row>
    <row r="832">
      <c r="E832">
        <f>IF(OR(B832="",D832=""),"",D832*XLOOKUP(B832,Batches!A:A,Batches!D:D))</f>
        <v/>
      </c>
    </row>
    <row r="833">
      <c r="E833">
        <f>IF(OR(B833="",D833=""),"",D833*XLOOKUP(B833,Batches!A:A,Batches!D:D))</f>
        <v/>
      </c>
    </row>
    <row r="834">
      <c r="E834">
        <f>IF(OR(B834="",D834=""),"",D834*XLOOKUP(B834,Batches!A:A,Batches!D:D))</f>
        <v/>
      </c>
    </row>
    <row r="835">
      <c r="E835">
        <f>IF(OR(B835="",D835=""),"",D835*XLOOKUP(B835,Batches!A:A,Batches!D:D))</f>
        <v/>
      </c>
    </row>
    <row r="836">
      <c r="E836">
        <f>IF(OR(B836="",D836=""),"",D836*XLOOKUP(B836,Batches!A:A,Batches!D:D))</f>
        <v/>
      </c>
    </row>
    <row r="837">
      <c r="E837">
        <f>IF(OR(B837="",D837=""),"",D837*XLOOKUP(B837,Batches!A:A,Batches!D:D))</f>
        <v/>
      </c>
    </row>
    <row r="838">
      <c r="E838">
        <f>IF(OR(B838="",D838=""),"",D838*XLOOKUP(B838,Batches!A:A,Batches!D:D))</f>
        <v/>
      </c>
    </row>
    <row r="839">
      <c r="E839">
        <f>IF(OR(B839="",D839=""),"",D839*XLOOKUP(B839,Batches!A:A,Batches!D:D))</f>
        <v/>
      </c>
    </row>
    <row r="840">
      <c r="E840">
        <f>IF(OR(B840="",D840=""),"",D840*XLOOKUP(B840,Batches!A:A,Batches!D:D))</f>
        <v/>
      </c>
    </row>
    <row r="841">
      <c r="E841">
        <f>IF(OR(B841="",D841=""),"",D841*XLOOKUP(B841,Batches!A:A,Batches!D:D))</f>
        <v/>
      </c>
    </row>
    <row r="842">
      <c r="E842">
        <f>IF(OR(B842="",D842=""),"",D842*XLOOKUP(B842,Batches!A:A,Batches!D:D))</f>
        <v/>
      </c>
    </row>
    <row r="843">
      <c r="E843">
        <f>IF(OR(B843="",D843=""),"",D843*XLOOKUP(B843,Batches!A:A,Batches!D:D))</f>
        <v/>
      </c>
    </row>
    <row r="844">
      <c r="E844">
        <f>IF(OR(B844="",D844=""),"",D844*XLOOKUP(B844,Batches!A:A,Batches!D:D))</f>
        <v/>
      </c>
    </row>
    <row r="845">
      <c r="E845">
        <f>IF(OR(B845="",D845=""),"",D845*XLOOKUP(B845,Batches!A:A,Batches!D:D))</f>
        <v/>
      </c>
    </row>
    <row r="846">
      <c r="E846">
        <f>IF(OR(B846="",D846=""),"",D846*XLOOKUP(B846,Batches!A:A,Batches!D:D))</f>
        <v/>
      </c>
    </row>
    <row r="847">
      <c r="E847">
        <f>IF(OR(B847="",D847=""),"",D847*XLOOKUP(B847,Batches!A:A,Batches!D:D))</f>
        <v/>
      </c>
    </row>
    <row r="848">
      <c r="E848">
        <f>IF(OR(B848="",D848=""),"",D848*XLOOKUP(B848,Batches!A:A,Batches!D:D))</f>
        <v/>
      </c>
    </row>
    <row r="849">
      <c r="E849">
        <f>IF(OR(B849="",D849=""),"",D849*XLOOKUP(B849,Batches!A:A,Batches!D:D))</f>
        <v/>
      </c>
    </row>
    <row r="850">
      <c r="E850">
        <f>IF(OR(B850="",D850=""),"",D850*XLOOKUP(B850,Batches!A:A,Batches!D:D))</f>
        <v/>
      </c>
    </row>
    <row r="851">
      <c r="E851">
        <f>IF(OR(B851="",D851=""),"",D851*XLOOKUP(B851,Batches!A:A,Batches!D:D))</f>
        <v/>
      </c>
    </row>
    <row r="852">
      <c r="E852">
        <f>IF(OR(B852="",D852=""),"",D852*XLOOKUP(B852,Batches!A:A,Batches!D:D))</f>
        <v/>
      </c>
    </row>
    <row r="853">
      <c r="E853">
        <f>IF(OR(B853="",D853=""),"",D853*XLOOKUP(B853,Batches!A:A,Batches!D:D))</f>
        <v/>
      </c>
    </row>
    <row r="854">
      <c r="E854">
        <f>IF(OR(B854="",D854=""),"",D854*XLOOKUP(B854,Batches!A:A,Batches!D:D))</f>
        <v/>
      </c>
    </row>
    <row r="855">
      <c r="E855">
        <f>IF(OR(B855="",D855=""),"",D855*XLOOKUP(B855,Batches!A:A,Batches!D:D))</f>
        <v/>
      </c>
    </row>
    <row r="856">
      <c r="E856">
        <f>IF(OR(B856="",D856=""),"",D856*XLOOKUP(B856,Batches!A:A,Batches!D:D))</f>
        <v/>
      </c>
    </row>
    <row r="857">
      <c r="E857">
        <f>IF(OR(B857="",D857=""),"",D857*XLOOKUP(B857,Batches!A:A,Batches!D:D))</f>
        <v/>
      </c>
    </row>
    <row r="858">
      <c r="E858">
        <f>IF(OR(B858="",D858=""),"",D858*XLOOKUP(B858,Batches!A:A,Batches!D:D))</f>
        <v/>
      </c>
    </row>
    <row r="859">
      <c r="E859">
        <f>IF(OR(B859="",D859=""),"",D859*XLOOKUP(B859,Batches!A:A,Batches!D:D))</f>
        <v/>
      </c>
    </row>
    <row r="860">
      <c r="E860">
        <f>IF(OR(B860="",D860=""),"",D860*XLOOKUP(B860,Batches!A:A,Batches!D:D))</f>
        <v/>
      </c>
    </row>
    <row r="861">
      <c r="E861">
        <f>IF(OR(B861="",D861=""),"",D861*XLOOKUP(B861,Batches!A:A,Batches!D:D))</f>
        <v/>
      </c>
    </row>
    <row r="862">
      <c r="E862">
        <f>IF(OR(B862="",D862=""),"",D862*XLOOKUP(B862,Batches!A:A,Batches!D:D))</f>
        <v/>
      </c>
    </row>
    <row r="863">
      <c r="E863">
        <f>IF(OR(B863="",D863=""),"",D863*XLOOKUP(B863,Batches!A:A,Batches!D:D))</f>
        <v/>
      </c>
    </row>
    <row r="864">
      <c r="E864">
        <f>IF(OR(B864="",D864=""),"",D864*XLOOKUP(B864,Batches!A:A,Batches!D:D))</f>
        <v/>
      </c>
    </row>
    <row r="865">
      <c r="E865">
        <f>IF(OR(B865="",D865=""),"",D865*XLOOKUP(B865,Batches!A:A,Batches!D:D))</f>
        <v/>
      </c>
    </row>
    <row r="866">
      <c r="E866">
        <f>IF(OR(B866="",D866=""),"",D866*XLOOKUP(B866,Batches!A:A,Batches!D:D))</f>
        <v/>
      </c>
    </row>
    <row r="867">
      <c r="E867">
        <f>IF(OR(B867="",D867=""),"",D867*XLOOKUP(B867,Batches!A:A,Batches!D:D))</f>
        <v/>
      </c>
    </row>
    <row r="868">
      <c r="E868">
        <f>IF(OR(B868="",D868=""),"",D868*XLOOKUP(B868,Batches!A:A,Batches!D:D))</f>
        <v/>
      </c>
    </row>
    <row r="869">
      <c r="E869">
        <f>IF(OR(B869="",D869=""),"",D869*XLOOKUP(B869,Batches!A:A,Batches!D:D))</f>
        <v/>
      </c>
    </row>
    <row r="870">
      <c r="E870">
        <f>IF(OR(B870="",D870=""),"",D870*XLOOKUP(B870,Batches!A:A,Batches!D:D))</f>
        <v/>
      </c>
    </row>
    <row r="871">
      <c r="E871">
        <f>IF(OR(B871="",D871=""),"",D871*XLOOKUP(B871,Batches!A:A,Batches!D:D))</f>
        <v/>
      </c>
    </row>
    <row r="872">
      <c r="E872">
        <f>IF(OR(B872="",D872=""),"",D872*XLOOKUP(B872,Batches!A:A,Batches!D:D))</f>
        <v/>
      </c>
    </row>
    <row r="873">
      <c r="E873">
        <f>IF(OR(B873="",D873=""),"",D873*XLOOKUP(B873,Batches!A:A,Batches!D:D))</f>
        <v/>
      </c>
    </row>
    <row r="874">
      <c r="E874">
        <f>IF(OR(B874="",D874=""),"",D874*XLOOKUP(B874,Batches!A:A,Batches!D:D))</f>
        <v/>
      </c>
    </row>
    <row r="875">
      <c r="E875">
        <f>IF(OR(B875="",D875=""),"",D875*XLOOKUP(B875,Batches!A:A,Batches!D:D))</f>
        <v/>
      </c>
    </row>
    <row r="876">
      <c r="E876">
        <f>IF(OR(B876="",D876=""),"",D876*XLOOKUP(B876,Batches!A:A,Batches!D:D))</f>
        <v/>
      </c>
    </row>
    <row r="877">
      <c r="E877">
        <f>IF(OR(B877="",D877=""),"",D877*XLOOKUP(B877,Batches!A:A,Batches!D:D))</f>
        <v/>
      </c>
    </row>
    <row r="878">
      <c r="E878">
        <f>IF(OR(B878="",D878=""),"",D878*XLOOKUP(B878,Batches!A:A,Batches!D:D))</f>
        <v/>
      </c>
    </row>
    <row r="879">
      <c r="E879">
        <f>IF(OR(B879="",D879=""),"",D879*XLOOKUP(B879,Batches!A:A,Batches!D:D))</f>
        <v/>
      </c>
    </row>
    <row r="880">
      <c r="E880">
        <f>IF(OR(B880="",D880=""),"",D880*XLOOKUP(B880,Batches!A:A,Batches!D:D))</f>
        <v/>
      </c>
    </row>
    <row r="881">
      <c r="E881">
        <f>IF(OR(B881="",D881=""),"",D881*XLOOKUP(B881,Batches!A:A,Batches!D:D))</f>
        <v/>
      </c>
    </row>
    <row r="882">
      <c r="E882">
        <f>IF(OR(B882="",D882=""),"",D882*XLOOKUP(B882,Batches!A:A,Batches!D:D))</f>
        <v/>
      </c>
    </row>
    <row r="883">
      <c r="E883">
        <f>IF(OR(B883="",D883=""),"",D883*XLOOKUP(B883,Batches!A:A,Batches!D:D))</f>
        <v/>
      </c>
    </row>
    <row r="884">
      <c r="E884">
        <f>IF(OR(B884="",D884=""),"",D884*XLOOKUP(B884,Batches!A:A,Batches!D:D))</f>
        <v/>
      </c>
    </row>
    <row r="885">
      <c r="E885">
        <f>IF(OR(B885="",D885=""),"",D885*XLOOKUP(B885,Batches!A:A,Batches!D:D))</f>
        <v/>
      </c>
    </row>
    <row r="886">
      <c r="E886">
        <f>IF(OR(B886="",D886=""),"",D886*XLOOKUP(B886,Batches!A:A,Batches!D:D))</f>
        <v/>
      </c>
    </row>
    <row r="887">
      <c r="E887">
        <f>IF(OR(B887="",D887=""),"",D887*XLOOKUP(B887,Batches!A:A,Batches!D:D))</f>
        <v/>
      </c>
    </row>
    <row r="888">
      <c r="E888">
        <f>IF(OR(B888="",D888=""),"",D888*XLOOKUP(B888,Batches!A:A,Batches!D:D))</f>
        <v/>
      </c>
    </row>
    <row r="889">
      <c r="E889">
        <f>IF(OR(B889="",D889=""),"",D889*XLOOKUP(B889,Batches!A:A,Batches!D:D))</f>
        <v/>
      </c>
    </row>
    <row r="890">
      <c r="E890">
        <f>IF(OR(B890="",D890=""),"",D890*XLOOKUP(B890,Batches!A:A,Batches!D:D))</f>
        <v/>
      </c>
    </row>
    <row r="891">
      <c r="E891">
        <f>IF(OR(B891="",D891=""),"",D891*XLOOKUP(B891,Batches!A:A,Batches!D:D))</f>
        <v/>
      </c>
    </row>
    <row r="892">
      <c r="E892">
        <f>IF(OR(B892="",D892=""),"",D892*XLOOKUP(B892,Batches!A:A,Batches!D:D))</f>
        <v/>
      </c>
    </row>
    <row r="893">
      <c r="E893">
        <f>IF(OR(B893="",D893=""),"",D893*XLOOKUP(B893,Batches!A:A,Batches!D:D))</f>
        <v/>
      </c>
    </row>
    <row r="894">
      <c r="E894">
        <f>IF(OR(B894="",D894=""),"",D894*XLOOKUP(B894,Batches!A:A,Batches!D:D))</f>
        <v/>
      </c>
    </row>
    <row r="895">
      <c r="E895">
        <f>IF(OR(B895="",D895=""),"",D895*XLOOKUP(B895,Batches!A:A,Batches!D:D))</f>
        <v/>
      </c>
    </row>
    <row r="896">
      <c r="E896">
        <f>IF(OR(B896="",D896=""),"",D896*XLOOKUP(B896,Batches!A:A,Batches!D:D))</f>
        <v/>
      </c>
    </row>
    <row r="897">
      <c r="E897">
        <f>IF(OR(B897="",D897=""),"",D897*XLOOKUP(B897,Batches!A:A,Batches!D:D))</f>
        <v/>
      </c>
    </row>
    <row r="898">
      <c r="E898">
        <f>IF(OR(B898="",D898=""),"",D898*XLOOKUP(B898,Batches!A:A,Batches!D:D))</f>
        <v/>
      </c>
    </row>
    <row r="899">
      <c r="E899">
        <f>IF(OR(B899="",D899=""),"",D899*XLOOKUP(B899,Batches!A:A,Batches!D:D))</f>
        <v/>
      </c>
    </row>
    <row r="900">
      <c r="E900">
        <f>IF(OR(B900="",D900=""),"",D900*XLOOKUP(B900,Batches!A:A,Batches!D:D))</f>
        <v/>
      </c>
    </row>
    <row r="901">
      <c r="E901">
        <f>IF(OR(B901="",D901=""),"",D901*XLOOKUP(B901,Batches!A:A,Batches!D:D))</f>
        <v/>
      </c>
    </row>
    <row r="902">
      <c r="E902">
        <f>IF(OR(B902="",D902=""),"",D902*XLOOKUP(B902,Batches!A:A,Batches!D:D))</f>
        <v/>
      </c>
    </row>
    <row r="903">
      <c r="E903">
        <f>IF(OR(B903="",D903=""),"",D903*XLOOKUP(B903,Batches!A:A,Batches!D:D))</f>
        <v/>
      </c>
    </row>
    <row r="904">
      <c r="E904">
        <f>IF(OR(B904="",D904=""),"",D904*XLOOKUP(B904,Batches!A:A,Batches!D:D))</f>
        <v/>
      </c>
    </row>
    <row r="905">
      <c r="E905">
        <f>IF(OR(B905="",D905=""),"",D905*XLOOKUP(B905,Batches!A:A,Batches!D:D))</f>
        <v/>
      </c>
    </row>
    <row r="906">
      <c r="E906">
        <f>IF(OR(B906="",D906=""),"",D906*XLOOKUP(B906,Batches!A:A,Batches!D:D))</f>
        <v/>
      </c>
    </row>
    <row r="907">
      <c r="E907">
        <f>IF(OR(B907="",D907=""),"",D907*XLOOKUP(B907,Batches!A:A,Batches!D:D))</f>
        <v/>
      </c>
    </row>
    <row r="908">
      <c r="E908">
        <f>IF(OR(B908="",D908=""),"",D908*XLOOKUP(B908,Batches!A:A,Batches!D:D))</f>
        <v/>
      </c>
    </row>
    <row r="909">
      <c r="E909">
        <f>IF(OR(B909="",D909=""),"",D909*XLOOKUP(B909,Batches!A:A,Batches!D:D))</f>
        <v/>
      </c>
    </row>
    <row r="910">
      <c r="E910">
        <f>IF(OR(B910="",D910=""),"",D910*XLOOKUP(B910,Batches!A:A,Batches!D:D))</f>
        <v/>
      </c>
    </row>
    <row r="911">
      <c r="E911">
        <f>IF(OR(B911="",D911=""),"",D911*XLOOKUP(B911,Batches!A:A,Batches!D:D))</f>
        <v/>
      </c>
    </row>
    <row r="912">
      <c r="E912">
        <f>IF(OR(B912="",D912=""),"",D912*XLOOKUP(B912,Batches!A:A,Batches!D:D))</f>
        <v/>
      </c>
    </row>
    <row r="913">
      <c r="E913">
        <f>IF(OR(B913="",D913=""),"",D913*XLOOKUP(B913,Batches!A:A,Batches!D:D))</f>
        <v/>
      </c>
    </row>
    <row r="914">
      <c r="E914">
        <f>IF(OR(B914="",D914=""),"",D914*XLOOKUP(B914,Batches!A:A,Batches!D:D))</f>
        <v/>
      </c>
    </row>
    <row r="915">
      <c r="E915">
        <f>IF(OR(B915="",D915=""),"",D915*XLOOKUP(B915,Batches!A:A,Batches!D:D))</f>
        <v/>
      </c>
    </row>
    <row r="916">
      <c r="E916">
        <f>IF(OR(B916="",D916=""),"",D916*XLOOKUP(B916,Batches!A:A,Batches!D:D))</f>
        <v/>
      </c>
    </row>
    <row r="917">
      <c r="E917">
        <f>IF(OR(B917="",D917=""),"",D917*XLOOKUP(B917,Batches!A:A,Batches!D:D))</f>
        <v/>
      </c>
    </row>
    <row r="918">
      <c r="E918">
        <f>IF(OR(B918="",D918=""),"",D918*XLOOKUP(B918,Batches!A:A,Batches!D:D))</f>
        <v/>
      </c>
    </row>
    <row r="919">
      <c r="E919">
        <f>IF(OR(B919="",D919=""),"",D919*XLOOKUP(B919,Batches!A:A,Batches!D:D))</f>
        <v/>
      </c>
    </row>
    <row r="920">
      <c r="E920">
        <f>IF(OR(B920="",D920=""),"",D920*XLOOKUP(B920,Batches!A:A,Batches!D:D))</f>
        <v/>
      </c>
    </row>
    <row r="921">
      <c r="E921">
        <f>IF(OR(B921="",D921=""),"",D921*XLOOKUP(B921,Batches!A:A,Batches!D:D))</f>
        <v/>
      </c>
    </row>
    <row r="922">
      <c r="E922">
        <f>IF(OR(B922="",D922=""),"",D922*XLOOKUP(B922,Batches!A:A,Batches!D:D))</f>
        <v/>
      </c>
    </row>
    <row r="923">
      <c r="E923">
        <f>IF(OR(B923="",D923=""),"",D923*XLOOKUP(B923,Batches!A:A,Batches!D:D))</f>
        <v/>
      </c>
    </row>
    <row r="924">
      <c r="E924">
        <f>IF(OR(B924="",D924=""),"",D924*XLOOKUP(B924,Batches!A:A,Batches!D:D))</f>
        <v/>
      </c>
    </row>
    <row r="925">
      <c r="E925">
        <f>IF(OR(B925="",D925=""),"",D925*XLOOKUP(B925,Batches!A:A,Batches!D:D))</f>
        <v/>
      </c>
    </row>
    <row r="926">
      <c r="E926">
        <f>IF(OR(B926="",D926=""),"",D926*XLOOKUP(B926,Batches!A:A,Batches!D:D))</f>
        <v/>
      </c>
    </row>
    <row r="927">
      <c r="E927">
        <f>IF(OR(B927="",D927=""),"",D927*XLOOKUP(B927,Batches!A:A,Batches!D:D))</f>
        <v/>
      </c>
    </row>
    <row r="928">
      <c r="E928">
        <f>IF(OR(B928="",D928=""),"",D928*XLOOKUP(B928,Batches!A:A,Batches!D:D))</f>
        <v/>
      </c>
    </row>
    <row r="929">
      <c r="E929">
        <f>IF(OR(B929="",D929=""),"",D929*XLOOKUP(B929,Batches!A:A,Batches!D:D))</f>
        <v/>
      </c>
    </row>
    <row r="930">
      <c r="E930">
        <f>IF(OR(B930="",D930=""),"",D930*XLOOKUP(B930,Batches!A:A,Batches!D:D))</f>
        <v/>
      </c>
    </row>
    <row r="931">
      <c r="E931">
        <f>IF(OR(B931="",D931=""),"",D931*XLOOKUP(B931,Batches!A:A,Batches!D:D))</f>
        <v/>
      </c>
    </row>
    <row r="932">
      <c r="E932">
        <f>IF(OR(B932="",D932=""),"",D932*XLOOKUP(B932,Batches!A:A,Batches!D:D))</f>
        <v/>
      </c>
    </row>
    <row r="933">
      <c r="E933">
        <f>IF(OR(B933="",D933=""),"",D933*XLOOKUP(B933,Batches!A:A,Batches!D:D))</f>
        <v/>
      </c>
    </row>
    <row r="934">
      <c r="E934">
        <f>IF(OR(B934="",D934=""),"",D934*XLOOKUP(B934,Batches!A:A,Batches!D:D))</f>
        <v/>
      </c>
    </row>
    <row r="935">
      <c r="E935">
        <f>IF(OR(B935="",D935=""),"",D935*XLOOKUP(B935,Batches!A:A,Batches!D:D))</f>
        <v/>
      </c>
    </row>
    <row r="936">
      <c r="E936">
        <f>IF(OR(B936="",D936=""),"",D936*XLOOKUP(B936,Batches!A:A,Batches!D:D))</f>
        <v/>
      </c>
    </row>
    <row r="937">
      <c r="E937">
        <f>IF(OR(B937="",D937=""),"",D937*XLOOKUP(B937,Batches!A:A,Batches!D:D))</f>
        <v/>
      </c>
    </row>
    <row r="938">
      <c r="E938">
        <f>IF(OR(B938="",D938=""),"",D938*XLOOKUP(B938,Batches!A:A,Batches!D:D))</f>
        <v/>
      </c>
    </row>
    <row r="939">
      <c r="E939">
        <f>IF(OR(B939="",D939=""),"",D939*XLOOKUP(B939,Batches!A:A,Batches!D:D))</f>
        <v/>
      </c>
    </row>
    <row r="940">
      <c r="E940">
        <f>IF(OR(B940="",D940=""),"",D940*XLOOKUP(B940,Batches!A:A,Batches!D:D))</f>
        <v/>
      </c>
    </row>
    <row r="941">
      <c r="E941">
        <f>IF(OR(B941="",D941=""),"",D941*XLOOKUP(B941,Batches!A:A,Batches!D:D))</f>
        <v/>
      </c>
    </row>
    <row r="942">
      <c r="E942">
        <f>IF(OR(B942="",D942=""),"",D942*XLOOKUP(B942,Batches!A:A,Batches!D:D))</f>
        <v/>
      </c>
    </row>
    <row r="943">
      <c r="E943">
        <f>IF(OR(B943="",D943=""),"",D943*XLOOKUP(B943,Batches!A:A,Batches!D:D))</f>
        <v/>
      </c>
    </row>
    <row r="944">
      <c r="E944">
        <f>IF(OR(B944="",D944=""),"",D944*XLOOKUP(B944,Batches!A:A,Batches!D:D))</f>
        <v/>
      </c>
    </row>
    <row r="945">
      <c r="E945">
        <f>IF(OR(B945="",D945=""),"",D945*XLOOKUP(B945,Batches!A:A,Batches!D:D))</f>
        <v/>
      </c>
    </row>
    <row r="946">
      <c r="E946">
        <f>IF(OR(B946="",D946=""),"",D946*XLOOKUP(B946,Batches!A:A,Batches!D:D))</f>
        <v/>
      </c>
    </row>
    <row r="947">
      <c r="E947">
        <f>IF(OR(B947="",D947=""),"",D947*XLOOKUP(B947,Batches!A:A,Batches!D:D))</f>
        <v/>
      </c>
    </row>
    <row r="948">
      <c r="E948">
        <f>IF(OR(B948="",D948=""),"",D948*XLOOKUP(B948,Batches!A:A,Batches!D:D))</f>
        <v/>
      </c>
    </row>
    <row r="949">
      <c r="E949">
        <f>IF(OR(B949="",D949=""),"",D949*XLOOKUP(B949,Batches!A:A,Batches!D:D))</f>
        <v/>
      </c>
    </row>
    <row r="950">
      <c r="E950">
        <f>IF(OR(B950="",D950=""),"",D950*XLOOKUP(B950,Batches!A:A,Batches!D:D))</f>
        <v/>
      </c>
    </row>
    <row r="951">
      <c r="E951">
        <f>IF(OR(B951="",D951=""),"",D951*XLOOKUP(B951,Batches!A:A,Batches!D:D))</f>
        <v/>
      </c>
    </row>
    <row r="952">
      <c r="E952">
        <f>IF(OR(B952="",D952=""),"",D952*XLOOKUP(B952,Batches!A:A,Batches!D:D))</f>
        <v/>
      </c>
    </row>
    <row r="953">
      <c r="E953">
        <f>IF(OR(B953="",D953=""),"",D953*XLOOKUP(B953,Batches!A:A,Batches!D:D))</f>
        <v/>
      </c>
    </row>
    <row r="954">
      <c r="E954">
        <f>IF(OR(B954="",D954=""),"",D954*XLOOKUP(B954,Batches!A:A,Batches!D:D))</f>
        <v/>
      </c>
    </row>
    <row r="955">
      <c r="E955">
        <f>IF(OR(B955="",D955=""),"",D955*XLOOKUP(B955,Batches!A:A,Batches!D:D))</f>
        <v/>
      </c>
    </row>
    <row r="956">
      <c r="E956">
        <f>IF(OR(B956="",D956=""),"",D956*XLOOKUP(B956,Batches!A:A,Batches!D:D))</f>
        <v/>
      </c>
    </row>
    <row r="957">
      <c r="E957">
        <f>IF(OR(B957="",D957=""),"",D957*XLOOKUP(B957,Batches!A:A,Batches!D:D))</f>
        <v/>
      </c>
    </row>
    <row r="958">
      <c r="E958">
        <f>IF(OR(B958="",D958=""),"",D958*XLOOKUP(B958,Batches!A:A,Batches!D:D))</f>
        <v/>
      </c>
    </row>
    <row r="959">
      <c r="E959">
        <f>IF(OR(B959="",D959=""),"",D959*XLOOKUP(B959,Batches!A:A,Batches!D:D))</f>
        <v/>
      </c>
    </row>
    <row r="960">
      <c r="E960">
        <f>IF(OR(B960="",D960=""),"",D960*XLOOKUP(B960,Batches!A:A,Batches!D:D))</f>
        <v/>
      </c>
    </row>
    <row r="961">
      <c r="E961">
        <f>IF(OR(B961="",D961=""),"",D961*XLOOKUP(B961,Batches!A:A,Batches!D:D))</f>
        <v/>
      </c>
    </row>
    <row r="962">
      <c r="E962">
        <f>IF(OR(B962="",D962=""),"",D962*XLOOKUP(B962,Batches!A:A,Batches!D:D))</f>
        <v/>
      </c>
    </row>
    <row r="963">
      <c r="E963">
        <f>IF(OR(B963="",D963=""),"",D963*XLOOKUP(B963,Batches!A:A,Batches!D:D))</f>
        <v/>
      </c>
    </row>
    <row r="964">
      <c r="E964">
        <f>IF(OR(B964="",D964=""),"",D964*XLOOKUP(B964,Batches!A:A,Batches!D:D))</f>
        <v/>
      </c>
    </row>
    <row r="965">
      <c r="E965">
        <f>IF(OR(B965="",D965=""),"",D965*XLOOKUP(B965,Batches!A:A,Batches!D:D))</f>
        <v/>
      </c>
    </row>
    <row r="966">
      <c r="E966">
        <f>IF(OR(B966="",D966=""),"",D966*XLOOKUP(B966,Batches!A:A,Batches!D:D))</f>
        <v/>
      </c>
    </row>
    <row r="967">
      <c r="E967">
        <f>IF(OR(B967="",D967=""),"",D967*XLOOKUP(B967,Batches!A:A,Batches!D:D))</f>
        <v/>
      </c>
    </row>
    <row r="968">
      <c r="E968">
        <f>IF(OR(B968="",D968=""),"",D968*XLOOKUP(B968,Batches!A:A,Batches!D:D))</f>
        <v/>
      </c>
    </row>
    <row r="969">
      <c r="E969">
        <f>IF(OR(B969="",D969=""),"",D969*XLOOKUP(B969,Batches!A:A,Batches!D:D))</f>
        <v/>
      </c>
    </row>
    <row r="970">
      <c r="E970">
        <f>IF(OR(B970="",D970=""),"",D970*XLOOKUP(B970,Batches!A:A,Batches!D:D))</f>
        <v/>
      </c>
    </row>
    <row r="971">
      <c r="E971">
        <f>IF(OR(B971="",D971=""),"",D971*XLOOKUP(B971,Batches!A:A,Batches!D:D))</f>
        <v/>
      </c>
    </row>
    <row r="972">
      <c r="E972">
        <f>IF(OR(B972="",D972=""),"",D972*XLOOKUP(B972,Batches!A:A,Batches!D:D))</f>
        <v/>
      </c>
    </row>
    <row r="973">
      <c r="E973">
        <f>IF(OR(B973="",D973=""),"",D973*XLOOKUP(B973,Batches!A:A,Batches!D:D))</f>
        <v/>
      </c>
    </row>
    <row r="974">
      <c r="E974">
        <f>IF(OR(B974="",D974=""),"",D974*XLOOKUP(B974,Batches!A:A,Batches!D:D))</f>
        <v/>
      </c>
    </row>
    <row r="975">
      <c r="E975">
        <f>IF(OR(B975="",D975=""),"",D975*XLOOKUP(B975,Batches!A:A,Batches!D:D))</f>
        <v/>
      </c>
    </row>
    <row r="976">
      <c r="E976">
        <f>IF(OR(B976="",D976=""),"",D976*XLOOKUP(B976,Batches!A:A,Batches!D:D))</f>
        <v/>
      </c>
    </row>
    <row r="977">
      <c r="E977">
        <f>IF(OR(B977="",D977=""),"",D977*XLOOKUP(B977,Batches!A:A,Batches!D:D))</f>
        <v/>
      </c>
    </row>
    <row r="978">
      <c r="E978">
        <f>IF(OR(B978="",D978=""),"",D978*XLOOKUP(B978,Batches!A:A,Batches!D:D))</f>
        <v/>
      </c>
    </row>
    <row r="979">
      <c r="E979">
        <f>IF(OR(B979="",D979=""),"",D979*XLOOKUP(B979,Batches!A:A,Batches!D:D))</f>
        <v/>
      </c>
    </row>
    <row r="980">
      <c r="E980">
        <f>IF(OR(B980="",D980=""),"",D980*XLOOKUP(B980,Batches!A:A,Batches!D:D))</f>
        <v/>
      </c>
    </row>
    <row r="981">
      <c r="E981">
        <f>IF(OR(B981="",D981=""),"",D981*XLOOKUP(B981,Batches!A:A,Batches!D:D))</f>
        <v/>
      </c>
    </row>
    <row r="982">
      <c r="E982">
        <f>IF(OR(B982="",D982=""),"",D982*XLOOKUP(B982,Batches!A:A,Batches!D:D))</f>
        <v/>
      </c>
    </row>
    <row r="983">
      <c r="E983">
        <f>IF(OR(B983="",D983=""),"",D983*XLOOKUP(B983,Batches!A:A,Batches!D:D))</f>
        <v/>
      </c>
    </row>
    <row r="984">
      <c r="E984">
        <f>IF(OR(B984="",D984=""),"",D984*XLOOKUP(B984,Batches!A:A,Batches!D:D))</f>
        <v/>
      </c>
    </row>
    <row r="985">
      <c r="E985">
        <f>IF(OR(B985="",D985=""),"",D985*XLOOKUP(B985,Batches!A:A,Batches!D:D))</f>
        <v/>
      </c>
    </row>
    <row r="986">
      <c r="E986">
        <f>IF(OR(B986="",D986=""),"",D986*XLOOKUP(B986,Batches!A:A,Batches!D:D))</f>
        <v/>
      </c>
    </row>
    <row r="987">
      <c r="E987">
        <f>IF(OR(B987="",D987=""),"",D987*XLOOKUP(B987,Batches!A:A,Batches!D:D))</f>
        <v/>
      </c>
    </row>
    <row r="988">
      <c r="E988">
        <f>IF(OR(B988="",D988=""),"",D988*XLOOKUP(B988,Batches!A:A,Batches!D:D))</f>
        <v/>
      </c>
    </row>
    <row r="989">
      <c r="E989">
        <f>IF(OR(B989="",D989=""),"",D989*XLOOKUP(B989,Batches!A:A,Batches!D:D))</f>
        <v/>
      </c>
    </row>
    <row r="990">
      <c r="E990">
        <f>IF(OR(B990="",D990=""),"",D990*XLOOKUP(B990,Batches!A:A,Batches!D:D))</f>
        <v/>
      </c>
    </row>
    <row r="991">
      <c r="E991">
        <f>IF(OR(B991="",D991=""),"",D991*XLOOKUP(B991,Batches!A:A,Batches!D:D))</f>
        <v/>
      </c>
    </row>
    <row r="992">
      <c r="E992">
        <f>IF(OR(B992="",D992=""),"",D992*XLOOKUP(B992,Batches!A:A,Batches!D:D))</f>
        <v/>
      </c>
    </row>
    <row r="993">
      <c r="E993">
        <f>IF(OR(B993="",D993=""),"",D993*XLOOKUP(B993,Batches!A:A,Batches!D:D))</f>
        <v/>
      </c>
    </row>
    <row r="994">
      <c r="E994">
        <f>IF(OR(B994="",D994=""),"",D994*XLOOKUP(B994,Batches!A:A,Batches!D:D))</f>
        <v/>
      </c>
    </row>
    <row r="995">
      <c r="E995">
        <f>IF(OR(B995="",D995=""),"",D995*XLOOKUP(B995,Batches!A:A,Batches!D:D))</f>
        <v/>
      </c>
    </row>
    <row r="996">
      <c r="E996">
        <f>IF(OR(B996="",D996=""),"",D996*XLOOKUP(B996,Batches!A:A,Batches!D:D))</f>
        <v/>
      </c>
    </row>
    <row r="997">
      <c r="E997">
        <f>IF(OR(B997="",D997=""),"",D997*XLOOKUP(B997,Batches!A:A,Batches!D:D))</f>
        <v/>
      </c>
    </row>
    <row r="998">
      <c r="E998">
        <f>IF(OR(B998="",D998=""),"",D998*XLOOKUP(B998,Batches!A:A,Batches!D:D))</f>
        <v/>
      </c>
    </row>
    <row r="999">
      <c r="E999">
        <f>IF(OR(B999="",D999=""),"",D999*XLOOKUP(B999,Batches!A:A,Batches!D:D))</f>
        <v/>
      </c>
    </row>
    <row r="1000">
      <c r="E1000">
        <f>IF(OR(B1000="",D1000=""),"",D1000*XLOOKUP(B1000,Batches!A:A,Batches!D:D))</f>
        <v/>
      </c>
    </row>
  </sheetData>
  <dataValidations count="3">
    <dataValidation sqref="F2:F1000" showDropDown="0" showInputMessage="0" showErrorMessage="0" allowBlank="1" type="list">
      <formula1>"Cash,Reinvest"</formula1>
    </dataValidation>
    <dataValidation sqref="B2:B1000 G2:G1000" showDropDown="0" showInputMessage="0" showErrorMessage="0" allowBlank="1" type="list">
      <formula1>=Batches!$A$2:$A$1000</formula1>
    </dataValidation>
    <dataValidation sqref="C2:C1000" showDropDown="0" showInputMessage="0" showErrorMessage="0" allowBlank="1" type="list">
      <formula1>=Members!$A$2:$A$1000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Batch_ID</t>
        </is>
      </c>
      <c r="B1" s="1" t="inlineStr">
        <is>
          <t>Return_Date</t>
        </is>
      </c>
      <c r="C1" s="1" t="inlineStr">
        <is>
          <t>Total_Return</t>
        </is>
      </c>
      <c r="D1" s="1" t="inlineStr">
        <is>
          <t>Total_Principal</t>
        </is>
      </c>
      <c r="E1" s="1" t="inlineStr">
        <is>
          <t>Profit</t>
        </is>
      </c>
    </row>
    <row r="2">
      <c r="A2" t="inlineStr">
        <is>
          <t>B001</t>
        </is>
      </c>
      <c r="B2" t="inlineStr">
        <is>
          <t>2026-06-01</t>
        </is>
      </c>
      <c r="C2" t="inlineStr"/>
      <c r="D2">
        <f>SUMIFS(Contributions!E:E,Contributions!B:B,A2)</f>
        <v/>
      </c>
      <c r="E2">
        <f>IF(C2="","",C2-D2)</f>
        <v/>
      </c>
    </row>
    <row r="3">
      <c r="D3">
        <f>IF(A3="","",SUMIFS(Contributions!E:E,Contributions!B:B,A3))</f>
        <v/>
      </c>
      <c r="E3">
        <f>IF(OR(A3="",C3=""),"",C3-D3)</f>
        <v/>
      </c>
    </row>
    <row r="4">
      <c r="D4">
        <f>IF(A4="","",SUMIFS(Contributions!E:E,Contributions!B:B,A4))</f>
        <v/>
      </c>
      <c r="E4">
        <f>IF(OR(A4="",C4=""),"",C4-D4)</f>
        <v/>
      </c>
    </row>
    <row r="5">
      <c r="D5">
        <f>IF(A5="","",SUMIFS(Contributions!E:E,Contributions!B:B,A5))</f>
        <v/>
      </c>
      <c r="E5">
        <f>IF(OR(A5="",C5=""),"",C5-D5)</f>
        <v/>
      </c>
    </row>
    <row r="6">
      <c r="D6">
        <f>IF(A6="","",SUMIFS(Contributions!E:E,Contributions!B:B,A6))</f>
        <v/>
      </c>
      <c r="E6">
        <f>IF(OR(A6="",C6=""),"",C6-D6)</f>
        <v/>
      </c>
    </row>
    <row r="7">
      <c r="D7">
        <f>IF(A7="","",SUMIFS(Contributions!E:E,Contributions!B:B,A7))</f>
        <v/>
      </c>
      <c r="E7">
        <f>IF(OR(A7="",C7=""),"",C7-D7)</f>
        <v/>
      </c>
    </row>
    <row r="8">
      <c r="D8">
        <f>IF(A8="","",SUMIFS(Contributions!E:E,Contributions!B:B,A8))</f>
        <v/>
      </c>
      <c r="E8">
        <f>IF(OR(A8="",C8=""),"",C8-D8)</f>
        <v/>
      </c>
    </row>
    <row r="9">
      <c r="D9">
        <f>IF(A9="","",SUMIFS(Contributions!E:E,Contributions!B:B,A9))</f>
        <v/>
      </c>
      <c r="E9">
        <f>IF(OR(A9="",C9=""),"",C9-D9)</f>
        <v/>
      </c>
    </row>
    <row r="10">
      <c r="D10">
        <f>IF(A10="","",SUMIFS(Contributions!E:E,Contributions!B:B,A10))</f>
        <v/>
      </c>
      <c r="E10">
        <f>IF(OR(A10="",C10=""),"",C10-D10)</f>
        <v/>
      </c>
    </row>
    <row r="11">
      <c r="D11">
        <f>IF(A11="","",SUMIFS(Contributions!E:E,Contributions!B:B,A11))</f>
        <v/>
      </c>
      <c r="E11">
        <f>IF(OR(A11="",C11=""),"",C11-D11)</f>
        <v/>
      </c>
    </row>
    <row r="12">
      <c r="D12">
        <f>IF(A12="","",SUMIFS(Contributions!E:E,Contributions!B:B,A12))</f>
        <v/>
      </c>
      <c r="E12">
        <f>IF(OR(A12="",C12=""),"",C12-D12)</f>
        <v/>
      </c>
    </row>
    <row r="13">
      <c r="D13">
        <f>IF(A13="","",SUMIFS(Contributions!E:E,Contributions!B:B,A13))</f>
        <v/>
      </c>
      <c r="E13">
        <f>IF(OR(A13="",C13=""),"",C13-D13)</f>
        <v/>
      </c>
    </row>
    <row r="14">
      <c r="D14">
        <f>IF(A14="","",SUMIFS(Contributions!E:E,Contributions!B:B,A14))</f>
        <v/>
      </c>
      <c r="E14">
        <f>IF(OR(A14="",C14=""),"",C14-D14)</f>
        <v/>
      </c>
    </row>
    <row r="15">
      <c r="D15">
        <f>IF(A15="","",SUMIFS(Contributions!E:E,Contributions!B:B,A15))</f>
        <v/>
      </c>
      <c r="E15">
        <f>IF(OR(A15="",C15=""),"",C15-D15)</f>
        <v/>
      </c>
    </row>
    <row r="16">
      <c r="D16">
        <f>IF(A16="","",SUMIFS(Contributions!E:E,Contributions!B:B,A16))</f>
        <v/>
      </c>
      <c r="E16">
        <f>IF(OR(A16="",C16=""),"",C16-D16)</f>
        <v/>
      </c>
    </row>
    <row r="17">
      <c r="D17">
        <f>IF(A17="","",SUMIFS(Contributions!E:E,Contributions!B:B,A17))</f>
        <v/>
      </c>
      <c r="E17">
        <f>IF(OR(A17="",C17=""),"",C17-D17)</f>
        <v/>
      </c>
    </row>
    <row r="18">
      <c r="D18">
        <f>IF(A18="","",SUMIFS(Contributions!E:E,Contributions!B:B,A18))</f>
        <v/>
      </c>
      <c r="E18">
        <f>IF(OR(A18="",C18=""),"",C18-D18)</f>
        <v/>
      </c>
    </row>
    <row r="19">
      <c r="D19">
        <f>IF(A19="","",SUMIFS(Contributions!E:E,Contributions!B:B,A19))</f>
        <v/>
      </c>
      <c r="E19">
        <f>IF(OR(A19="",C19=""),"",C19-D19)</f>
        <v/>
      </c>
    </row>
    <row r="20">
      <c r="D20">
        <f>IF(A20="","",SUMIFS(Contributions!E:E,Contributions!B:B,A20))</f>
        <v/>
      </c>
      <c r="E20">
        <f>IF(OR(A20="",C20=""),"",C20-D20)</f>
        <v/>
      </c>
    </row>
    <row r="21">
      <c r="D21">
        <f>IF(A21="","",SUMIFS(Contributions!E:E,Contributions!B:B,A21))</f>
        <v/>
      </c>
      <c r="E21">
        <f>IF(OR(A21="",C21=""),"",C21-D21)</f>
        <v/>
      </c>
    </row>
    <row r="22">
      <c r="D22">
        <f>IF(A22="","",SUMIFS(Contributions!E:E,Contributions!B:B,A22))</f>
        <v/>
      </c>
      <c r="E22">
        <f>IF(OR(A22="",C22=""),"",C22-D22)</f>
        <v/>
      </c>
    </row>
    <row r="23">
      <c r="D23">
        <f>IF(A23="","",SUMIFS(Contributions!E:E,Contributions!B:B,A23))</f>
        <v/>
      </c>
      <c r="E23">
        <f>IF(OR(A23="",C23=""),"",C23-D23)</f>
        <v/>
      </c>
    </row>
    <row r="24">
      <c r="D24">
        <f>IF(A24="","",SUMIFS(Contributions!E:E,Contributions!B:B,A24))</f>
        <v/>
      </c>
      <c r="E24">
        <f>IF(OR(A24="",C24=""),"",C24-D24)</f>
        <v/>
      </c>
    </row>
    <row r="25">
      <c r="D25">
        <f>IF(A25="","",SUMIFS(Contributions!E:E,Contributions!B:B,A25))</f>
        <v/>
      </c>
      <c r="E25">
        <f>IF(OR(A25="",C25=""),"",C25-D25)</f>
        <v/>
      </c>
    </row>
    <row r="26">
      <c r="D26">
        <f>IF(A26="","",SUMIFS(Contributions!E:E,Contributions!B:B,A26))</f>
        <v/>
      </c>
      <c r="E26">
        <f>IF(OR(A26="",C26=""),"",C26-D26)</f>
        <v/>
      </c>
    </row>
    <row r="27">
      <c r="D27">
        <f>IF(A27="","",SUMIFS(Contributions!E:E,Contributions!B:B,A27))</f>
        <v/>
      </c>
      <c r="E27">
        <f>IF(OR(A27="",C27=""),"",C27-D27)</f>
        <v/>
      </c>
    </row>
    <row r="28">
      <c r="D28">
        <f>IF(A28="","",SUMIFS(Contributions!E:E,Contributions!B:B,A28))</f>
        <v/>
      </c>
      <c r="E28">
        <f>IF(OR(A28="",C28=""),"",C28-D28)</f>
        <v/>
      </c>
    </row>
    <row r="29">
      <c r="D29">
        <f>IF(A29="","",SUMIFS(Contributions!E:E,Contributions!B:B,A29))</f>
        <v/>
      </c>
      <c r="E29">
        <f>IF(OR(A29="",C29=""),"",C29-D29)</f>
        <v/>
      </c>
    </row>
    <row r="30">
      <c r="D30">
        <f>IF(A30="","",SUMIFS(Contributions!E:E,Contributions!B:B,A30))</f>
        <v/>
      </c>
      <c r="E30">
        <f>IF(OR(A30="",C30=""),"",C30-D30)</f>
        <v/>
      </c>
    </row>
    <row r="31">
      <c r="D31">
        <f>IF(A31="","",SUMIFS(Contributions!E:E,Contributions!B:B,A31))</f>
        <v/>
      </c>
      <c r="E31">
        <f>IF(OR(A31="",C31=""),"",C31-D31)</f>
        <v/>
      </c>
    </row>
    <row r="32">
      <c r="D32">
        <f>IF(A32="","",SUMIFS(Contributions!E:E,Contributions!B:B,A32))</f>
        <v/>
      </c>
      <c r="E32">
        <f>IF(OR(A32="",C32=""),"",C32-D32)</f>
        <v/>
      </c>
    </row>
    <row r="33">
      <c r="D33">
        <f>IF(A33="","",SUMIFS(Contributions!E:E,Contributions!B:B,A33))</f>
        <v/>
      </c>
      <c r="E33">
        <f>IF(OR(A33="",C33=""),"",C33-D33)</f>
        <v/>
      </c>
    </row>
    <row r="34">
      <c r="D34">
        <f>IF(A34="","",SUMIFS(Contributions!E:E,Contributions!B:B,A34))</f>
        <v/>
      </c>
      <c r="E34">
        <f>IF(OR(A34="",C34=""),"",C34-D34)</f>
        <v/>
      </c>
    </row>
    <row r="35">
      <c r="D35">
        <f>IF(A35="","",SUMIFS(Contributions!E:E,Contributions!B:B,A35))</f>
        <v/>
      </c>
      <c r="E35">
        <f>IF(OR(A35="",C35=""),"",C35-D35)</f>
        <v/>
      </c>
    </row>
    <row r="36">
      <c r="D36">
        <f>IF(A36="","",SUMIFS(Contributions!E:E,Contributions!B:B,A36))</f>
        <v/>
      </c>
      <c r="E36">
        <f>IF(OR(A36="",C36=""),"",C36-D36)</f>
        <v/>
      </c>
    </row>
    <row r="37">
      <c r="D37">
        <f>IF(A37="","",SUMIFS(Contributions!E:E,Contributions!B:B,A37))</f>
        <v/>
      </c>
      <c r="E37">
        <f>IF(OR(A37="",C37=""),"",C37-D37)</f>
        <v/>
      </c>
    </row>
    <row r="38">
      <c r="D38">
        <f>IF(A38="","",SUMIFS(Contributions!E:E,Contributions!B:B,A38))</f>
        <v/>
      </c>
      <c r="E38">
        <f>IF(OR(A38="",C38=""),"",C38-D38)</f>
        <v/>
      </c>
    </row>
    <row r="39">
      <c r="D39">
        <f>IF(A39="","",SUMIFS(Contributions!E:E,Contributions!B:B,A39))</f>
        <v/>
      </c>
      <c r="E39">
        <f>IF(OR(A39="",C39=""),"",C39-D39)</f>
        <v/>
      </c>
    </row>
    <row r="40">
      <c r="D40">
        <f>IF(A40="","",SUMIFS(Contributions!E:E,Contributions!B:B,A40))</f>
        <v/>
      </c>
      <c r="E40">
        <f>IF(OR(A40="",C40=""),"",C40-D40)</f>
        <v/>
      </c>
    </row>
    <row r="41">
      <c r="D41">
        <f>IF(A41="","",SUMIFS(Contributions!E:E,Contributions!B:B,A41))</f>
        <v/>
      </c>
      <c r="E41">
        <f>IF(OR(A41="",C41=""),"",C41-D41)</f>
        <v/>
      </c>
    </row>
    <row r="42">
      <c r="D42">
        <f>IF(A42="","",SUMIFS(Contributions!E:E,Contributions!B:B,A42))</f>
        <v/>
      </c>
      <c r="E42">
        <f>IF(OR(A42="",C42=""),"",C42-D42)</f>
        <v/>
      </c>
    </row>
    <row r="43">
      <c r="D43">
        <f>IF(A43="","",SUMIFS(Contributions!E:E,Contributions!B:B,A43))</f>
        <v/>
      </c>
      <c r="E43">
        <f>IF(OR(A43="",C43=""),"",C43-D43)</f>
        <v/>
      </c>
    </row>
    <row r="44">
      <c r="D44">
        <f>IF(A44="","",SUMIFS(Contributions!E:E,Contributions!B:B,A44))</f>
        <v/>
      </c>
      <c r="E44">
        <f>IF(OR(A44="",C44=""),"",C44-D44)</f>
        <v/>
      </c>
    </row>
    <row r="45">
      <c r="D45">
        <f>IF(A45="","",SUMIFS(Contributions!E:E,Contributions!B:B,A45))</f>
        <v/>
      </c>
      <c r="E45">
        <f>IF(OR(A45="",C45=""),"",C45-D45)</f>
        <v/>
      </c>
    </row>
    <row r="46">
      <c r="D46">
        <f>IF(A46="","",SUMIFS(Contributions!E:E,Contributions!B:B,A46))</f>
        <v/>
      </c>
      <c r="E46">
        <f>IF(OR(A46="",C46=""),"",C46-D46)</f>
        <v/>
      </c>
    </row>
    <row r="47">
      <c r="D47">
        <f>IF(A47="","",SUMIFS(Contributions!E:E,Contributions!B:B,A47))</f>
        <v/>
      </c>
      <c r="E47">
        <f>IF(OR(A47="",C47=""),"",C47-D47)</f>
        <v/>
      </c>
    </row>
    <row r="48">
      <c r="D48">
        <f>IF(A48="","",SUMIFS(Contributions!E:E,Contributions!B:B,A48))</f>
        <v/>
      </c>
      <c r="E48">
        <f>IF(OR(A48="",C48=""),"",C48-D48)</f>
        <v/>
      </c>
    </row>
    <row r="49">
      <c r="D49">
        <f>IF(A49="","",SUMIFS(Contributions!E:E,Contributions!B:B,A49))</f>
        <v/>
      </c>
      <c r="E49">
        <f>IF(OR(A49="",C49=""),"",C49-D49)</f>
        <v/>
      </c>
    </row>
    <row r="50">
      <c r="D50">
        <f>IF(A50="","",SUMIFS(Contributions!E:E,Contributions!B:B,A50))</f>
        <v/>
      </c>
      <c r="E50">
        <f>IF(OR(A50="",C50=""),"",C50-D50)</f>
        <v/>
      </c>
    </row>
    <row r="51">
      <c r="D51">
        <f>IF(A51="","",SUMIFS(Contributions!E:E,Contributions!B:B,A51))</f>
        <v/>
      </c>
      <c r="E51">
        <f>IF(OR(A51="",C51=""),"",C51-D51)</f>
        <v/>
      </c>
    </row>
    <row r="52">
      <c r="D52">
        <f>IF(A52="","",SUMIFS(Contributions!E:E,Contributions!B:B,A52))</f>
        <v/>
      </c>
      <c r="E52">
        <f>IF(OR(A52="",C52=""),"",C52-D52)</f>
        <v/>
      </c>
    </row>
    <row r="53">
      <c r="D53">
        <f>IF(A53="","",SUMIFS(Contributions!E:E,Contributions!B:B,A53))</f>
        <v/>
      </c>
      <c r="E53">
        <f>IF(OR(A53="",C53=""),"",C53-D53)</f>
        <v/>
      </c>
    </row>
    <row r="54">
      <c r="D54">
        <f>IF(A54="","",SUMIFS(Contributions!E:E,Contributions!B:B,A54))</f>
        <v/>
      </c>
      <c r="E54">
        <f>IF(OR(A54="",C54=""),"",C54-D54)</f>
        <v/>
      </c>
    </row>
    <row r="55">
      <c r="D55">
        <f>IF(A55="","",SUMIFS(Contributions!E:E,Contributions!B:B,A55))</f>
        <v/>
      </c>
      <c r="E55">
        <f>IF(OR(A55="",C55=""),"",C55-D55)</f>
        <v/>
      </c>
    </row>
    <row r="56">
      <c r="D56">
        <f>IF(A56="","",SUMIFS(Contributions!E:E,Contributions!B:B,A56))</f>
        <v/>
      </c>
      <c r="E56">
        <f>IF(OR(A56="",C56=""),"",C56-D56)</f>
        <v/>
      </c>
    </row>
    <row r="57">
      <c r="D57">
        <f>IF(A57="","",SUMIFS(Contributions!E:E,Contributions!B:B,A57))</f>
        <v/>
      </c>
      <c r="E57">
        <f>IF(OR(A57="",C57=""),"",C57-D57)</f>
        <v/>
      </c>
    </row>
    <row r="58">
      <c r="D58">
        <f>IF(A58="","",SUMIFS(Contributions!E:E,Contributions!B:B,A58))</f>
        <v/>
      </c>
      <c r="E58">
        <f>IF(OR(A58="",C58=""),"",C58-D58)</f>
        <v/>
      </c>
    </row>
    <row r="59">
      <c r="D59">
        <f>IF(A59="","",SUMIFS(Contributions!E:E,Contributions!B:B,A59))</f>
        <v/>
      </c>
      <c r="E59">
        <f>IF(OR(A59="",C59=""),"",C59-D59)</f>
        <v/>
      </c>
    </row>
    <row r="60">
      <c r="D60">
        <f>IF(A60="","",SUMIFS(Contributions!E:E,Contributions!B:B,A60))</f>
        <v/>
      </c>
      <c r="E60">
        <f>IF(OR(A60="",C60=""),"",C60-D60)</f>
        <v/>
      </c>
    </row>
    <row r="61">
      <c r="D61">
        <f>IF(A61="","",SUMIFS(Contributions!E:E,Contributions!B:B,A61))</f>
        <v/>
      </c>
      <c r="E61">
        <f>IF(OR(A61="",C61=""),"",C61-D61)</f>
        <v/>
      </c>
    </row>
    <row r="62">
      <c r="D62">
        <f>IF(A62="","",SUMIFS(Contributions!E:E,Contributions!B:B,A62))</f>
        <v/>
      </c>
      <c r="E62">
        <f>IF(OR(A62="",C62=""),"",C62-D62)</f>
        <v/>
      </c>
    </row>
    <row r="63">
      <c r="D63">
        <f>IF(A63="","",SUMIFS(Contributions!E:E,Contributions!B:B,A63))</f>
        <v/>
      </c>
      <c r="E63">
        <f>IF(OR(A63="",C63=""),"",C63-D63)</f>
        <v/>
      </c>
    </row>
    <row r="64">
      <c r="D64">
        <f>IF(A64="","",SUMIFS(Contributions!E:E,Contributions!B:B,A64))</f>
        <v/>
      </c>
      <c r="E64">
        <f>IF(OR(A64="",C64=""),"",C64-D64)</f>
        <v/>
      </c>
    </row>
    <row r="65">
      <c r="D65">
        <f>IF(A65="","",SUMIFS(Contributions!E:E,Contributions!B:B,A65))</f>
        <v/>
      </c>
      <c r="E65">
        <f>IF(OR(A65="",C65=""),"",C65-D65)</f>
        <v/>
      </c>
    </row>
    <row r="66">
      <c r="D66">
        <f>IF(A66="","",SUMIFS(Contributions!E:E,Contributions!B:B,A66))</f>
        <v/>
      </c>
      <c r="E66">
        <f>IF(OR(A66="",C66=""),"",C66-D66)</f>
        <v/>
      </c>
    </row>
    <row r="67">
      <c r="D67">
        <f>IF(A67="","",SUMIFS(Contributions!E:E,Contributions!B:B,A67))</f>
        <v/>
      </c>
      <c r="E67">
        <f>IF(OR(A67="",C67=""),"",C67-D67)</f>
        <v/>
      </c>
    </row>
    <row r="68">
      <c r="D68">
        <f>IF(A68="","",SUMIFS(Contributions!E:E,Contributions!B:B,A68))</f>
        <v/>
      </c>
      <c r="E68">
        <f>IF(OR(A68="",C68=""),"",C68-D68)</f>
        <v/>
      </c>
    </row>
    <row r="69">
      <c r="D69">
        <f>IF(A69="","",SUMIFS(Contributions!E:E,Contributions!B:B,A69))</f>
        <v/>
      </c>
      <c r="E69">
        <f>IF(OR(A69="",C69=""),"",C69-D69)</f>
        <v/>
      </c>
    </row>
    <row r="70">
      <c r="D70">
        <f>IF(A70="","",SUMIFS(Contributions!E:E,Contributions!B:B,A70))</f>
        <v/>
      </c>
      <c r="E70">
        <f>IF(OR(A70="",C70=""),"",C70-D70)</f>
        <v/>
      </c>
    </row>
    <row r="71">
      <c r="D71">
        <f>IF(A71="","",SUMIFS(Contributions!E:E,Contributions!B:B,A71))</f>
        <v/>
      </c>
      <c r="E71">
        <f>IF(OR(A71="",C71=""),"",C71-D71)</f>
        <v/>
      </c>
    </row>
    <row r="72">
      <c r="D72">
        <f>IF(A72="","",SUMIFS(Contributions!E:E,Contributions!B:B,A72))</f>
        <v/>
      </c>
      <c r="E72">
        <f>IF(OR(A72="",C72=""),"",C72-D72)</f>
        <v/>
      </c>
    </row>
    <row r="73">
      <c r="D73">
        <f>IF(A73="","",SUMIFS(Contributions!E:E,Contributions!B:B,A73))</f>
        <v/>
      </c>
      <c r="E73">
        <f>IF(OR(A73="",C73=""),"",C73-D73)</f>
        <v/>
      </c>
    </row>
    <row r="74">
      <c r="D74">
        <f>IF(A74="","",SUMIFS(Contributions!E:E,Contributions!B:B,A74))</f>
        <v/>
      </c>
      <c r="E74">
        <f>IF(OR(A74="",C74=""),"",C74-D74)</f>
        <v/>
      </c>
    </row>
    <row r="75">
      <c r="D75">
        <f>IF(A75="","",SUMIFS(Contributions!E:E,Contributions!B:B,A75))</f>
        <v/>
      </c>
      <c r="E75">
        <f>IF(OR(A75="",C75=""),"",C75-D75)</f>
        <v/>
      </c>
    </row>
    <row r="76">
      <c r="D76">
        <f>IF(A76="","",SUMIFS(Contributions!E:E,Contributions!B:B,A76))</f>
        <v/>
      </c>
      <c r="E76">
        <f>IF(OR(A76="",C76=""),"",C76-D76)</f>
        <v/>
      </c>
    </row>
    <row r="77">
      <c r="D77">
        <f>IF(A77="","",SUMIFS(Contributions!E:E,Contributions!B:B,A77))</f>
        <v/>
      </c>
      <c r="E77">
        <f>IF(OR(A77="",C77=""),"",C77-D77)</f>
        <v/>
      </c>
    </row>
    <row r="78">
      <c r="D78">
        <f>IF(A78="","",SUMIFS(Contributions!E:E,Contributions!B:B,A78))</f>
        <v/>
      </c>
      <c r="E78">
        <f>IF(OR(A78="",C78=""),"",C78-D78)</f>
        <v/>
      </c>
    </row>
    <row r="79">
      <c r="D79">
        <f>IF(A79="","",SUMIFS(Contributions!E:E,Contributions!B:B,A79))</f>
        <v/>
      </c>
      <c r="E79">
        <f>IF(OR(A79="",C79=""),"",C79-D79)</f>
        <v/>
      </c>
    </row>
    <row r="80">
      <c r="D80">
        <f>IF(A80="","",SUMIFS(Contributions!E:E,Contributions!B:B,A80))</f>
        <v/>
      </c>
      <c r="E80">
        <f>IF(OR(A80="",C80=""),"",C80-D80)</f>
        <v/>
      </c>
    </row>
    <row r="81">
      <c r="D81">
        <f>IF(A81="","",SUMIFS(Contributions!E:E,Contributions!B:B,A81))</f>
        <v/>
      </c>
      <c r="E81">
        <f>IF(OR(A81="",C81=""),"",C81-D81)</f>
        <v/>
      </c>
    </row>
    <row r="82">
      <c r="D82">
        <f>IF(A82="","",SUMIFS(Contributions!E:E,Contributions!B:B,A82))</f>
        <v/>
      </c>
      <c r="E82">
        <f>IF(OR(A82="",C82=""),"",C82-D82)</f>
        <v/>
      </c>
    </row>
    <row r="83">
      <c r="D83">
        <f>IF(A83="","",SUMIFS(Contributions!E:E,Contributions!B:B,A83))</f>
        <v/>
      </c>
      <c r="E83">
        <f>IF(OR(A83="",C83=""),"",C83-D83)</f>
        <v/>
      </c>
    </row>
    <row r="84">
      <c r="D84">
        <f>IF(A84="","",SUMIFS(Contributions!E:E,Contributions!B:B,A84))</f>
        <v/>
      </c>
      <c r="E84">
        <f>IF(OR(A84="",C84=""),"",C84-D84)</f>
        <v/>
      </c>
    </row>
    <row r="85">
      <c r="D85">
        <f>IF(A85="","",SUMIFS(Contributions!E:E,Contributions!B:B,A85))</f>
        <v/>
      </c>
      <c r="E85">
        <f>IF(OR(A85="",C85=""),"",C85-D85)</f>
        <v/>
      </c>
    </row>
    <row r="86">
      <c r="D86">
        <f>IF(A86="","",SUMIFS(Contributions!E:E,Contributions!B:B,A86))</f>
        <v/>
      </c>
      <c r="E86">
        <f>IF(OR(A86="",C86=""),"",C86-D86)</f>
        <v/>
      </c>
    </row>
    <row r="87">
      <c r="D87">
        <f>IF(A87="","",SUMIFS(Contributions!E:E,Contributions!B:B,A87))</f>
        <v/>
      </c>
      <c r="E87">
        <f>IF(OR(A87="",C87=""),"",C87-D87)</f>
        <v/>
      </c>
    </row>
    <row r="88">
      <c r="D88">
        <f>IF(A88="","",SUMIFS(Contributions!E:E,Contributions!B:B,A88))</f>
        <v/>
      </c>
      <c r="E88">
        <f>IF(OR(A88="",C88=""),"",C88-D88)</f>
        <v/>
      </c>
    </row>
    <row r="89">
      <c r="D89">
        <f>IF(A89="","",SUMIFS(Contributions!E:E,Contributions!B:B,A89))</f>
        <v/>
      </c>
      <c r="E89">
        <f>IF(OR(A89="",C89=""),"",C89-D89)</f>
        <v/>
      </c>
    </row>
    <row r="90">
      <c r="D90">
        <f>IF(A90="","",SUMIFS(Contributions!E:E,Contributions!B:B,A90))</f>
        <v/>
      </c>
      <c r="E90">
        <f>IF(OR(A90="",C90=""),"",C90-D90)</f>
        <v/>
      </c>
    </row>
    <row r="91">
      <c r="D91">
        <f>IF(A91="","",SUMIFS(Contributions!E:E,Contributions!B:B,A91))</f>
        <v/>
      </c>
      <c r="E91">
        <f>IF(OR(A91="",C91=""),"",C91-D91)</f>
        <v/>
      </c>
    </row>
    <row r="92">
      <c r="D92">
        <f>IF(A92="","",SUMIFS(Contributions!E:E,Contributions!B:B,A92))</f>
        <v/>
      </c>
      <c r="E92">
        <f>IF(OR(A92="",C92=""),"",C92-D92)</f>
        <v/>
      </c>
    </row>
    <row r="93">
      <c r="D93">
        <f>IF(A93="","",SUMIFS(Contributions!E:E,Contributions!B:B,A93))</f>
        <v/>
      </c>
      <c r="E93">
        <f>IF(OR(A93="",C93=""),"",C93-D93)</f>
        <v/>
      </c>
    </row>
    <row r="94">
      <c r="D94">
        <f>IF(A94="","",SUMIFS(Contributions!E:E,Contributions!B:B,A94))</f>
        <v/>
      </c>
      <c r="E94">
        <f>IF(OR(A94="",C94=""),"",C94-D94)</f>
        <v/>
      </c>
    </row>
    <row r="95">
      <c r="D95">
        <f>IF(A95="","",SUMIFS(Contributions!E:E,Contributions!B:B,A95))</f>
        <v/>
      </c>
      <c r="E95">
        <f>IF(OR(A95="",C95=""),"",C95-D95)</f>
        <v/>
      </c>
    </row>
    <row r="96">
      <c r="D96">
        <f>IF(A96="","",SUMIFS(Contributions!E:E,Contributions!B:B,A96))</f>
        <v/>
      </c>
      <c r="E96">
        <f>IF(OR(A96="",C96=""),"",C96-D96)</f>
        <v/>
      </c>
    </row>
    <row r="97">
      <c r="D97">
        <f>IF(A97="","",SUMIFS(Contributions!E:E,Contributions!B:B,A97))</f>
        <v/>
      </c>
      <c r="E97">
        <f>IF(OR(A97="",C97=""),"",C97-D97)</f>
        <v/>
      </c>
    </row>
    <row r="98">
      <c r="D98">
        <f>IF(A98="","",SUMIFS(Contributions!E:E,Contributions!B:B,A98))</f>
        <v/>
      </c>
      <c r="E98">
        <f>IF(OR(A98="",C98=""),"",C98-D98)</f>
        <v/>
      </c>
    </row>
    <row r="99">
      <c r="D99">
        <f>IF(A99="","",SUMIFS(Contributions!E:E,Contributions!B:B,A99))</f>
        <v/>
      </c>
      <c r="E99">
        <f>IF(OR(A99="",C99=""),"",C99-D99)</f>
        <v/>
      </c>
    </row>
    <row r="100">
      <c r="D100">
        <f>IF(A100="","",SUMIFS(Contributions!E:E,Contributions!B:B,A100))</f>
        <v/>
      </c>
      <c r="E100">
        <f>IF(OR(A100="",C100=""),"",C100-D100)</f>
        <v/>
      </c>
    </row>
    <row r="101">
      <c r="D101">
        <f>IF(A101="","",SUMIFS(Contributions!E:E,Contributions!B:B,A101))</f>
        <v/>
      </c>
      <c r="E101">
        <f>IF(OR(A101="",C101=""),"",C101-D101)</f>
        <v/>
      </c>
    </row>
    <row r="102">
      <c r="D102">
        <f>IF(A102="","",SUMIFS(Contributions!E:E,Contributions!B:B,A102))</f>
        <v/>
      </c>
      <c r="E102">
        <f>IF(OR(A102="",C102=""),"",C102-D102)</f>
        <v/>
      </c>
    </row>
    <row r="103">
      <c r="D103">
        <f>IF(A103="","",SUMIFS(Contributions!E:E,Contributions!B:B,A103))</f>
        <v/>
      </c>
      <c r="E103">
        <f>IF(OR(A103="",C103=""),"",C103-D103)</f>
        <v/>
      </c>
    </row>
    <row r="104">
      <c r="D104">
        <f>IF(A104="","",SUMIFS(Contributions!E:E,Contributions!B:B,A104))</f>
        <v/>
      </c>
      <c r="E104">
        <f>IF(OR(A104="",C104=""),"",C104-D104)</f>
        <v/>
      </c>
    </row>
    <row r="105">
      <c r="D105">
        <f>IF(A105="","",SUMIFS(Contributions!E:E,Contributions!B:B,A105))</f>
        <v/>
      </c>
      <c r="E105">
        <f>IF(OR(A105="",C105=""),"",C105-D105)</f>
        <v/>
      </c>
    </row>
    <row r="106">
      <c r="D106">
        <f>IF(A106="","",SUMIFS(Contributions!E:E,Contributions!B:B,A106))</f>
        <v/>
      </c>
      <c r="E106">
        <f>IF(OR(A106="",C106=""),"",C106-D106)</f>
        <v/>
      </c>
    </row>
    <row r="107">
      <c r="D107">
        <f>IF(A107="","",SUMIFS(Contributions!E:E,Contributions!B:B,A107))</f>
        <v/>
      </c>
      <c r="E107">
        <f>IF(OR(A107="",C107=""),"",C107-D107)</f>
        <v/>
      </c>
    </row>
    <row r="108">
      <c r="D108">
        <f>IF(A108="","",SUMIFS(Contributions!E:E,Contributions!B:B,A108))</f>
        <v/>
      </c>
      <c r="E108">
        <f>IF(OR(A108="",C108=""),"",C108-D108)</f>
        <v/>
      </c>
    </row>
    <row r="109">
      <c r="D109">
        <f>IF(A109="","",SUMIFS(Contributions!E:E,Contributions!B:B,A109))</f>
        <v/>
      </c>
      <c r="E109">
        <f>IF(OR(A109="",C109=""),"",C109-D109)</f>
        <v/>
      </c>
    </row>
    <row r="110">
      <c r="D110">
        <f>IF(A110="","",SUMIFS(Contributions!E:E,Contributions!B:B,A110))</f>
        <v/>
      </c>
      <c r="E110">
        <f>IF(OR(A110="",C110=""),"",C110-D110)</f>
        <v/>
      </c>
    </row>
    <row r="111">
      <c r="D111">
        <f>IF(A111="","",SUMIFS(Contributions!E:E,Contributions!B:B,A111))</f>
        <v/>
      </c>
      <c r="E111">
        <f>IF(OR(A111="",C111=""),"",C111-D111)</f>
        <v/>
      </c>
    </row>
    <row r="112">
      <c r="D112">
        <f>IF(A112="","",SUMIFS(Contributions!E:E,Contributions!B:B,A112))</f>
        <v/>
      </c>
      <c r="E112">
        <f>IF(OR(A112="",C112=""),"",C112-D112)</f>
        <v/>
      </c>
    </row>
    <row r="113">
      <c r="D113">
        <f>IF(A113="","",SUMIFS(Contributions!E:E,Contributions!B:B,A113))</f>
        <v/>
      </c>
      <c r="E113">
        <f>IF(OR(A113="",C113=""),"",C113-D113)</f>
        <v/>
      </c>
    </row>
    <row r="114">
      <c r="D114">
        <f>IF(A114="","",SUMIFS(Contributions!E:E,Contributions!B:B,A114))</f>
        <v/>
      </c>
      <c r="E114">
        <f>IF(OR(A114="",C114=""),"",C114-D114)</f>
        <v/>
      </c>
    </row>
    <row r="115">
      <c r="D115">
        <f>IF(A115="","",SUMIFS(Contributions!E:E,Contributions!B:B,A115))</f>
        <v/>
      </c>
      <c r="E115">
        <f>IF(OR(A115="",C115=""),"",C115-D115)</f>
        <v/>
      </c>
    </row>
    <row r="116">
      <c r="D116">
        <f>IF(A116="","",SUMIFS(Contributions!E:E,Contributions!B:B,A116))</f>
        <v/>
      </c>
      <c r="E116">
        <f>IF(OR(A116="",C116=""),"",C116-D116)</f>
        <v/>
      </c>
    </row>
    <row r="117">
      <c r="D117">
        <f>IF(A117="","",SUMIFS(Contributions!E:E,Contributions!B:B,A117))</f>
        <v/>
      </c>
      <c r="E117">
        <f>IF(OR(A117="",C117=""),"",C117-D117)</f>
        <v/>
      </c>
    </row>
    <row r="118">
      <c r="D118">
        <f>IF(A118="","",SUMIFS(Contributions!E:E,Contributions!B:B,A118))</f>
        <v/>
      </c>
      <c r="E118">
        <f>IF(OR(A118="",C118=""),"",C118-D118)</f>
        <v/>
      </c>
    </row>
    <row r="119">
      <c r="D119">
        <f>IF(A119="","",SUMIFS(Contributions!E:E,Contributions!B:B,A119))</f>
        <v/>
      </c>
      <c r="E119">
        <f>IF(OR(A119="",C119=""),"",C119-D119)</f>
        <v/>
      </c>
    </row>
    <row r="120">
      <c r="D120">
        <f>IF(A120="","",SUMIFS(Contributions!E:E,Contributions!B:B,A120))</f>
        <v/>
      </c>
      <c r="E120">
        <f>IF(OR(A120="",C120=""),"",C120-D120)</f>
        <v/>
      </c>
    </row>
    <row r="121">
      <c r="D121">
        <f>IF(A121="","",SUMIFS(Contributions!E:E,Contributions!B:B,A121))</f>
        <v/>
      </c>
      <c r="E121">
        <f>IF(OR(A121="",C121=""),"",C121-D121)</f>
        <v/>
      </c>
    </row>
    <row r="122">
      <c r="D122">
        <f>IF(A122="","",SUMIFS(Contributions!E:E,Contributions!B:B,A122))</f>
        <v/>
      </c>
      <c r="E122">
        <f>IF(OR(A122="",C122=""),"",C122-D122)</f>
        <v/>
      </c>
    </row>
    <row r="123">
      <c r="D123">
        <f>IF(A123="","",SUMIFS(Contributions!E:E,Contributions!B:B,A123))</f>
        <v/>
      </c>
      <c r="E123">
        <f>IF(OR(A123="",C123=""),"",C123-D123)</f>
        <v/>
      </c>
    </row>
    <row r="124">
      <c r="D124">
        <f>IF(A124="","",SUMIFS(Contributions!E:E,Contributions!B:B,A124))</f>
        <v/>
      </c>
      <c r="E124">
        <f>IF(OR(A124="",C124=""),"",C124-D124)</f>
        <v/>
      </c>
    </row>
    <row r="125">
      <c r="D125">
        <f>IF(A125="","",SUMIFS(Contributions!E:E,Contributions!B:B,A125))</f>
        <v/>
      </c>
      <c r="E125">
        <f>IF(OR(A125="",C125=""),"",C125-D125)</f>
        <v/>
      </c>
    </row>
    <row r="126">
      <c r="D126">
        <f>IF(A126="","",SUMIFS(Contributions!E:E,Contributions!B:B,A126))</f>
        <v/>
      </c>
      <c r="E126">
        <f>IF(OR(A126="",C126=""),"",C126-D126)</f>
        <v/>
      </c>
    </row>
    <row r="127">
      <c r="D127">
        <f>IF(A127="","",SUMIFS(Contributions!E:E,Contributions!B:B,A127))</f>
        <v/>
      </c>
      <c r="E127">
        <f>IF(OR(A127="",C127=""),"",C127-D127)</f>
        <v/>
      </c>
    </row>
    <row r="128">
      <c r="D128">
        <f>IF(A128="","",SUMIFS(Contributions!E:E,Contributions!B:B,A128))</f>
        <v/>
      </c>
      <c r="E128">
        <f>IF(OR(A128="",C128=""),"",C128-D128)</f>
        <v/>
      </c>
    </row>
    <row r="129">
      <c r="D129">
        <f>IF(A129="","",SUMIFS(Contributions!E:E,Contributions!B:B,A129))</f>
        <v/>
      </c>
      <c r="E129">
        <f>IF(OR(A129="",C129=""),"",C129-D129)</f>
        <v/>
      </c>
    </row>
    <row r="130">
      <c r="D130">
        <f>IF(A130="","",SUMIFS(Contributions!E:E,Contributions!B:B,A130))</f>
        <v/>
      </c>
      <c r="E130">
        <f>IF(OR(A130="",C130=""),"",C130-D130)</f>
        <v/>
      </c>
    </row>
    <row r="131">
      <c r="D131">
        <f>IF(A131="","",SUMIFS(Contributions!E:E,Contributions!B:B,A131))</f>
        <v/>
      </c>
      <c r="E131">
        <f>IF(OR(A131="",C131=""),"",C131-D131)</f>
        <v/>
      </c>
    </row>
    <row r="132">
      <c r="D132">
        <f>IF(A132="","",SUMIFS(Contributions!E:E,Contributions!B:B,A132))</f>
        <v/>
      </c>
      <c r="E132">
        <f>IF(OR(A132="",C132=""),"",C132-D132)</f>
        <v/>
      </c>
    </row>
    <row r="133">
      <c r="D133">
        <f>IF(A133="","",SUMIFS(Contributions!E:E,Contributions!B:B,A133))</f>
        <v/>
      </c>
      <c r="E133">
        <f>IF(OR(A133="",C133=""),"",C133-D133)</f>
        <v/>
      </c>
    </row>
    <row r="134">
      <c r="D134">
        <f>IF(A134="","",SUMIFS(Contributions!E:E,Contributions!B:B,A134))</f>
        <v/>
      </c>
      <c r="E134">
        <f>IF(OR(A134="",C134=""),"",C134-D134)</f>
        <v/>
      </c>
    </row>
    <row r="135">
      <c r="D135">
        <f>IF(A135="","",SUMIFS(Contributions!E:E,Contributions!B:B,A135))</f>
        <v/>
      </c>
      <c r="E135">
        <f>IF(OR(A135="",C135=""),"",C135-D135)</f>
        <v/>
      </c>
    </row>
    <row r="136">
      <c r="D136">
        <f>IF(A136="","",SUMIFS(Contributions!E:E,Contributions!B:B,A136))</f>
        <v/>
      </c>
      <c r="E136">
        <f>IF(OR(A136="",C136=""),"",C136-D136)</f>
        <v/>
      </c>
    </row>
    <row r="137">
      <c r="D137">
        <f>IF(A137="","",SUMIFS(Contributions!E:E,Contributions!B:B,A137))</f>
        <v/>
      </c>
      <c r="E137">
        <f>IF(OR(A137="",C137=""),"",C137-D137)</f>
        <v/>
      </c>
    </row>
    <row r="138">
      <c r="D138">
        <f>IF(A138="","",SUMIFS(Contributions!E:E,Contributions!B:B,A138))</f>
        <v/>
      </c>
      <c r="E138">
        <f>IF(OR(A138="",C138=""),"",C138-D138)</f>
        <v/>
      </c>
    </row>
    <row r="139">
      <c r="D139">
        <f>IF(A139="","",SUMIFS(Contributions!E:E,Contributions!B:B,A139))</f>
        <v/>
      </c>
      <c r="E139">
        <f>IF(OR(A139="",C139=""),"",C139-D139)</f>
        <v/>
      </c>
    </row>
    <row r="140">
      <c r="D140">
        <f>IF(A140="","",SUMIFS(Contributions!E:E,Contributions!B:B,A140))</f>
        <v/>
      </c>
      <c r="E140">
        <f>IF(OR(A140="",C140=""),"",C140-D140)</f>
        <v/>
      </c>
    </row>
    <row r="141">
      <c r="D141">
        <f>IF(A141="","",SUMIFS(Contributions!E:E,Contributions!B:B,A141))</f>
        <v/>
      </c>
      <c r="E141">
        <f>IF(OR(A141="",C141=""),"",C141-D141)</f>
        <v/>
      </c>
    </row>
    <row r="142">
      <c r="D142">
        <f>IF(A142="","",SUMIFS(Contributions!E:E,Contributions!B:B,A142))</f>
        <v/>
      </c>
      <c r="E142">
        <f>IF(OR(A142="",C142=""),"",C142-D142)</f>
        <v/>
      </c>
    </row>
    <row r="143">
      <c r="D143">
        <f>IF(A143="","",SUMIFS(Contributions!E:E,Contributions!B:B,A143))</f>
        <v/>
      </c>
      <c r="E143">
        <f>IF(OR(A143="",C143=""),"",C143-D143)</f>
        <v/>
      </c>
    </row>
    <row r="144">
      <c r="D144">
        <f>IF(A144="","",SUMIFS(Contributions!E:E,Contributions!B:B,A144))</f>
        <v/>
      </c>
      <c r="E144">
        <f>IF(OR(A144="",C144=""),"",C144-D144)</f>
        <v/>
      </c>
    </row>
    <row r="145">
      <c r="D145">
        <f>IF(A145="","",SUMIFS(Contributions!E:E,Contributions!B:B,A145))</f>
        <v/>
      </c>
      <c r="E145">
        <f>IF(OR(A145="",C145=""),"",C145-D145)</f>
        <v/>
      </c>
    </row>
    <row r="146">
      <c r="D146">
        <f>IF(A146="","",SUMIFS(Contributions!E:E,Contributions!B:B,A146))</f>
        <v/>
      </c>
      <c r="E146">
        <f>IF(OR(A146="",C146=""),"",C146-D146)</f>
        <v/>
      </c>
    </row>
    <row r="147">
      <c r="D147">
        <f>IF(A147="","",SUMIFS(Contributions!E:E,Contributions!B:B,A147))</f>
        <v/>
      </c>
      <c r="E147">
        <f>IF(OR(A147="",C147=""),"",C147-D147)</f>
        <v/>
      </c>
    </row>
    <row r="148">
      <c r="D148">
        <f>IF(A148="","",SUMIFS(Contributions!E:E,Contributions!B:B,A148))</f>
        <v/>
      </c>
      <c r="E148">
        <f>IF(OR(A148="",C148=""),"",C148-D148)</f>
        <v/>
      </c>
    </row>
    <row r="149">
      <c r="D149">
        <f>IF(A149="","",SUMIFS(Contributions!E:E,Contributions!B:B,A149))</f>
        <v/>
      </c>
      <c r="E149">
        <f>IF(OR(A149="",C149=""),"",C149-D149)</f>
        <v/>
      </c>
    </row>
    <row r="150">
      <c r="D150">
        <f>IF(A150="","",SUMIFS(Contributions!E:E,Contributions!B:B,A150))</f>
        <v/>
      </c>
      <c r="E150">
        <f>IF(OR(A150="",C150=""),"",C150-D150)</f>
        <v/>
      </c>
    </row>
    <row r="151">
      <c r="D151">
        <f>IF(A151="","",SUMIFS(Contributions!E:E,Contributions!B:B,A151))</f>
        <v/>
      </c>
      <c r="E151">
        <f>IF(OR(A151="",C151=""),"",C151-D151)</f>
        <v/>
      </c>
    </row>
    <row r="152">
      <c r="D152">
        <f>IF(A152="","",SUMIFS(Contributions!E:E,Contributions!B:B,A152))</f>
        <v/>
      </c>
      <c r="E152">
        <f>IF(OR(A152="",C152=""),"",C152-D152)</f>
        <v/>
      </c>
    </row>
    <row r="153">
      <c r="D153">
        <f>IF(A153="","",SUMIFS(Contributions!E:E,Contributions!B:B,A153))</f>
        <v/>
      </c>
      <c r="E153">
        <f>IF(OR(A153="",C153=""),"",C153-D153)</f>
        <v/>
      </c>
    </row>
    <row r="154">
      <c r="D154">
        <f>IF(A154="","",SUMIFS(Contributions!E:E,Contributions!B:B,A154))</f>
        <v/>
      </c>
      <c r="E154">
        <f>IF(OR(A154="",C154=""),"",C154-D154)</f>
        <v/>
      </c>
    </row>
    <row r="155">
      <c r="D155">
        <f>IF(A155="","",SUMIFS(Contributions!E:E,Contributions!B:B,A155))</f>
        <v/>
      </c>
      <c r="E155">
        <f>IF(OR(A155="",C155=""),"",C155-D155)</f>
        <v/>
      </c>
    </row>
    <row r="156">
      <c r="D156">
        <f>IF(A156="","",SUMIFS(Contributions!E:E,Contributions!B:B,A156))</f>
        <v/>
      </c>
      <c r="E156">
        <f>IF(OR(A156="",C156=""),"",C156-D156)</f>
        <v/>
      </c>
    </row>
    <row r="157">
      <c r="D157">
        <f>IF(A157="","",SUMIFS(Contributions!E:E,Contributions!B:B,A157))</f>
        <v/>
      </c>
      <c r="E157">
        <f>IF(OR(A157="",C157=""),"",C157-D157)</f>
        <v/>
      </c>
    </row>
    <row r="158">
      <c r="D158">
        <f>IF(A158="","",SUMIFS(Contributions!E:E,Contributions!B:B,A158))</f>
        <v/>
      </c>
      <c r="E158">
        <f>IF(OR(A158="",C158=""),"",C158-D158)</f>
        <v/>
      </c>
    </row>
    <row r="159">
      <c r="D159">
        <f>IF(A159="","",SUMIFS(Contributions!E:E,Contributions!B:B,A159))</f>
        <v/>
      </c>
      <c r="E159">
        <f>IF(OR(A159="",C159=""),"",C159-D159)</f>
        <v/>
      </c>
    </row>
    <row r="160">
      <c r="D160">
        <f>IF(A160="","",SUMIFS(Contributions!E:E,Contributions!B:B,A160))</f>
        <v/>
      </c>
      <c r="E160">
        <f>IF(OR(A160="",C160=""),"",C160-D160)</f>
        <v/>
      </c>
    </row>
    <row r="161">
      <c r="D161">
        <f>IF(A161="","",SUMIFS(Contributions!E:E,Contributions!B:B,A161))</f>
        <v/>
      </c>
      <c r="E161">
        <f>IF(OR(A161="",C161=""),"",C161-D161)</f>
        <v/>
      </c>
    </row>
    <row r="162">
      <c r="D162">
        <f>IF(A162="","",SUMIFS(Contributions!E:E,Contributions!B:B,A162))</f>
        <v/>
      </c>
      <c r="E162">
        <f>IF(OR(A162="",C162=""),"",C162-D162)</f>
        <v/>
      </c>
    </row>
    <row r="163">
      <c r="D163">
        <f>IF(A163="","",SUMIFS(Contributions!E:E,Contributions!B:B,A163))</f>
        <v/>
      </c>
      <c r="E163">
        <f>IF(OR(A163="",C163=""),"",C163-D163)</f>
        <v/>
      </c>
    </row>
    <row r="164">
      <c r="D164">
        <f>IF(A164="","",SUMIFS(Contributions!E:E,Contributions!B:B,A164))</f>
        <v/>
      </c>
      <c r="E164">
        <f>IF(OR(A164="",C164=""),"",C164-D164)</f>
        <v/>
      </c>
    </row>
    <row r="165">
      <c r="D165">
        <f>IF(A165="","",SUMIFS(Contributions!E:E,Contributions!B:B,A165))</f>
        <v/>
      </c>
      <c r="E165">
        <f>IF(OR(A165="",C165=""),"",C165-D165)</f>
        <v/>
      </c>
    </row>
    <row r="166">
      <c r="D166">
        <f>IF(A166="","",SUMIFS(Contributions!E:E,Contributions!B:B,A166))</f>
        <v/>
      </c>
      <c r="E166">
        <f>IF(OR(A166="",C166=""),"",C166-D166)</f>
        <v/>
      </c>
    </row>
    <row r="167">
      <c r="D167">
        <f>IF(A167="","",SUMIFS(Contributions!E:E,Contributions!B:B,A167))</f>
        <v/>
      </c>
      <c r="E167">
        <f>IF(OR(A167="",C167=""),"",C167-D167)</f>
        <v/>
      </c>
    </row>
    <row r="168">
      <c r="D168">
        <f>IF(A168="","",SUMIFS(Contributions!E:E,Contributions!B:B,A168))</f>
        <v/>
      </c>
      <c r="E168">
        <f>IF(OR(A168="",C168=""),"",C168-D168)</f>
        <v/>
      </c>
    </row>
    <row r="169">
      <c r="D169">
        <f>IF(A169="","",SUMIFS(Contributions!E:E,Contributions!B:B,A169))</f>
        <v/>
      </c>
      <c r="E169">
        <f>IF(OR(A169="",C169=""),"",C169-D169)</f>
        <v/>
      </c>
    </row>
    <row r="170">
      <c r="D170">
        <f>IF(A170="","",SUMIFS(Contributions!E:E,Contributions!B:B,A170))</f>
        <v/>
      </c>
      <c r="E170">
        <f>IF(OR(A170="",C170=""),"",C170-D170)</f>
        <v/>
      </c>
    </row>
    <row r="171">
      <c r="D171">
        <f>IF(A171="","",SUMIFS(Contributions!E:E,Contributions!B:B,A171))</f>
        <v/>
      </c>
      <c r="E171">
        <f>IF(OR(A171="",C171=""),"",C171-D171)</f>
        <v/>
      </c>
    </row>
    <row r="172">
      <c r="D172">
        <f>IF(A172="","",SUMIFS(Contributions!E:E,Contributions!B:B,A172))</f>
        <v/>
      </c>
      <c r="E172">
        <f>IF(OR(A172="",C172=""),"",C172-D172)</f>
        <v/>
      </c>
    </row>
    <row r="173">
      <c r="D173">
        <f>IF(A173="","",SUMIFS(Contributions!E:E,Contributions!B:B,A173))</f>
        <v/>
      </c>
      <c r="E173">
        <f>IF(OR(A173="",C173=""),"",C173-D173)</f>
        <v/>
      </c>
    </row>
    <row r="174">
      <c r="D174">
        <f>IF(A174="","",SUMIFS(Contributions!E:E,Contributions!B:B,A174))</f>
        <v/>
      </c>
      <c r="E174">
        <f>IF(OR(A174="",C174=""),"",C174-D174)</f>
        <v/>
      </c>
    </row>
    <row r="175">
      <c r="D175">
        <f>IF(A175="","",SUMIFS(Contributions!E:E,Contributions!B:B,A175))</f>
        <v/>
      </c>
      <c r="E175">
        <f>IF(OR(A175="",C175=""),"",C175-D175)</f>
        <v/>
      </c>
    </row>
    <row r="176">
      <c r="D176">
        <f>IF(A176="","",SUMIFS(Contributions!E:E,Contributions!B:B,A176))</f>
        <v/>
      </c>
      <c r="E176">
        <f>IF(OR(A176="",C176=""),"",C176-D176)</f>
        <v/>
      </c>
    </row>
    <row r="177">
      <c r="D177">
        <f>IF(A177="","",SUMIFS(Contributions!E:E,Contributions!B:B,A177))</f>
        <v/>
      </c>
      <c r="E177">
        <f>IF(OR(A177="",C177=""),"",C177-D177)</f>
        <v/>
      </c>
    </row>
    <row r="178">
      <c r="D178">
        <f>IF(A178="","",SUMIFS(Contributions!E:E,Contributions!B:B,A178))</f>
        <v/>
      </c>
      <c r="E178">
        <f>IF(OR(A178="",C178=""),"",C178-D178)</f>
        <v/>
      </c>
    </row>
    <row r="179">
      <c r="D179">
        <f>IF(A179="","",SUMIFS(Contributions!E:E,Contributions!B:B,A179))</f>
        <v/>
      </c>
      <c r="E179">
        <f>IF(OR(A179="",C179=""),"",C179-D179)</f>
        <v/>
      </c>
    </row>
    <row r="180">
      <c r="D180">
        <f>IF(A180="","",SUMIFS(Contributions!E:E,Contributions!B:B,A180))</f>
        <v/>
      </c>
      <c r="E180">
        <f>IF(OR(A180="",C180=""),"",C180-D180)</f>
        <v/>
      </c>
    </row>
    <row r="181">
      <c r="D181">
        <f>IF(A181="","",SUMIFS(Contributions!E:E,Contributions!B:B,A181))</f>
        <v/>
      </c>
      <c r="E181">
        <f>IF(OR(A181="",C181=""),"",C181-D181)</f>
        <v/>
      </c>
    </row>
    <row r="182">
      <c r="D182">
        <f>IF(A182="","",SUMIFS(Contributions!E:E,Contributions!B:B,A182))</f>
        <v/>
      </c>
      <c r="E182">
        <f>IF(OR(A182="",C182=""),"",C182-D182)</f>
        <v/>
      </c>
    </row>
    <row r="183">
      <c r="D183">
        <f>IF(A183="","",SUMIFS(Contributions!E:E,Contributions!B:B,A183))</f>
        <v/>
      </c>
      <c r="E183">
        <f>IF(OR(A183="",C183=""),"",C183-D183)</f>
        <v/>
      </c>
    </row>
    <row r="184">
      <c r="D184">
        <f>IF(A184="","",SUMIFS(Contributions!E:E,Contributions!B:B,A184))</f>
        <v/>
      </c>
      <c r="E184">
        <f>IF(OR(A184="",C184=""),"",C184-D184)</f>
        <v/>
      </c>
    </row>
    <row r="185">
      <c r="D185">
        <f>IF(A185="","",SUMIFS(Contributions!E:E,Contributions!B:B,A185))</f>
        <v/>
      </c>
      <c r="E185">
        <f>IF(OR(A185="",C185=""),"",C185-D185)</f>
        <v/>
      </c>
    </row>
    <row r="186">
      <c r="D186">
        <f>IF(A186="","",SUMIFS(Contributions!E:E,Contributions!B:B,A186))</f>
        <v/>
      </c>
      <c r="E186">
        <f>IF(OR(A186="",C186=""),"",C186-D186)</f>
        <v/>
      </c>
    </row>
    <row r="187">
      <c r="D187">
        <f>IF(A187="","",SUMIFS(Contributions!E:E,Contributions!B:B,A187))</f>
        <v/>
      </c>
      <c r="E187">
        <f>IF(OR(A187="",C187=""),"",C187-D187)</f>
        <v/>
      </c>
    </row>
    <row r="188">
      <c r="D188">
        <f>IF(A188="","",SUMIFS(Contributions!E:E,Contributions!B:B,A188))</f>
        <v/>
      </c>
      <c r="E188">
        <f>IF(OR(A188="",C188=""),"",C188-D188)</f>
        <v/>
      </c>
    </row>
    <row r="189">
      <c r="D189">
        <f>IF(A189="","",SUMIFS(Contributions!E:E,Contributions!B:B,A189))</f>
        <v/>
      </c>
      <c r="E189">
        <f>IF(OR(A189="",C189=""),"",C189-D189)</f>
        <v/>
      </c>
    </row>
    <row r="190">
      <c r="D190">
        <f>IF(A190="","",SUMIFS(Contributions!E:E,Contributions!B:B,A190))</f>
        <v/>
      </c>
      <c r="E190">
        <f>IF(OR(A190="",C190=""),"",C190-D190)</f>
        <v/>
      </c>
    </row>
    <row r="191">
      <c r="D191">
        <f>IF(A191="","",SUMIFS(Contributions!E:E,Contributions!B:B,A191))</f>
        <v/>
      </c>
      <c r="E191">
        <f>IF(OR(A191="",C191=""),"",C191-D191)</f>
        <v/>
      </c>
    </row>
    <row r="192">
      <c r="D192">
        <f>IF(A192="","",SUMIFS(Contributions!E:E,Contributions!B:B,A192))</f>
        <v/>
      </c>
      <c r="E192">
        <f>IF(OR(A192="",C192=""),"",C192-D192)</f>
        <v/>
      </c>
    </row>
    <row r="193">
      <c r="D193">
        <f>IF(A193="","",SUMIFS(Contributions!E:E,Contributions!B:B,A193))</f>
        <v/>
      </c>
      <c r="E193">
        <f>IF(OR(A193="",C193=""),"",C193-D193)</f>
        <v/>
      </c>
    </row>
    <row r="194">
      <c r="D194">
        <f>IF(A194="","",SUMIFS(Contributions!E:E,Contributions!B:B,A194))</f>
        <v/>
      </c>
      <c r="E194">
        <f>IF(OR(A194="",C194=""),"",C194-D194)</f>
        <v/>
      </c>
    </row>
    <row r="195">
      <c r="D195">
        <f>IF(A195="","",SUMIFS(Contributions!E:E,Contributions!B:B,A195))</f>
        <v/>
      </c>
      <c r="E195">
        <f>IF(OR(A195="",C195=""),"",C195-D195)</f>
        <v/>
      </c>
    </row>
    <row r="196">
      <c r="D196">
        <f>IF(A196="","",SUMIFS(Contributions!E:E,Contributions!B:B,A196))</f>
        <v/>
      </c>
      <c r="E196">
        <f>IF(OR(A196="",C196=""),"",C196-D196)</f>
        <v/>
      </c>
    </row>
    <row r="197">
      <c r="D197">
        <f>IF(A197="","",SUMIFS(Contributions!E:E,Contributions!B:B,A197))</f>
        <v/>
      </c>
      <c r="E197">
        <f>IF(OR(A197="",C197=""),"",C197-D197)</f>
        <v/>
      </c>
    </row>
    <row r="198">
      <c r="D198">
        <f>IF(A198="","",SUMIFS(Contributions!E:E,Contributions!B:B,A198))</f>
        <v/>
      </c>
      <c r="E198">
        <f>IF(OR(A198="",C198=""),"",C198-D198)</f>
        <v/>
      </c>
    </row>
    <row r="199">
      <c r="D199">
        <f>IF(A199="","",SUMIFS(Contributions!E:E,Contributions!B:B,A199))</f>
        <v/>
      </c>
      <c r="E199">
        <f>IF(OR(A199="",C199=""),"",C199-D199)</f>
        <v/>
      </c>
    </row>
    <row r="200">
      <c r="D200">
        <f>IF(A200="","",SUMIFS(Contributions!E:E,Contributions!B:B,A200))</f>
        <v/>
      </c>
      <c r="E200">
        <f>IF(OR(A200="",C200=""),"",C200-D200)</f>
        <v/>
      </c>
    </row>
    <row r="201">
      <c r="D201">
        <f>IF(A201="","",SUMIFS(Contributions!E:E,Contributions!B:B,A201))</f>
        <v/>
      </c>
      <c r="E201">
        <f>IF(OR(A201="",C201=""),"",C201-D201)</f>
        <v/>
      </c>
    </row>
    <row r="202">
      <c r="D202">
        <f>IF(A202="","",SUMIFS(Contributions!E:E,Contributions!B:B,A202))</f>
        <v/>
      </c>
      <c r="E202">
        <f>IF(OR(A202="",C202=""),"",C202-D202)</f>
        <v/>
      </c>
    </row>
    <row r="203">
      <c r="D203">
        <f>IF(A203="","",SUMIFS(Contributions!E:E,Contributions!B:B,A203))</f>
        <v/>
      </c>
      <c r="E203">
        <f>IF(OR(A203="",C203=""),"",C203-D203)</f>
        <v/>
      </c>
    </row>
    <row r="204">
      <c r="D204">
        <f>IF(A204="","",SUMIFS(Contributions!E:E,Contributions!B:B,A204))</f>
        <v/>
      </c>
      <c r="E204">
        <f>IF(OR(A204="",C204=""),"",C204-D204)</f>
        <v/>
      </c>
    </row>
    <row r="205">
      <c r="D205">
        <f>IF(A205="","",SUMIFS(Contributions!E:E,Contributions!B:B,A205))</f>
        <v/>
      </c>
      <c r="E205">
        <f>IF(OR(A205="",C205=""),"",C205-D205)</f>
        <v/>
      </c>
    </row>
    <row r="206">
      <c r="D206">
        <f>IF(A206="","",SUMIFS(Contributions!E:E,Contributions!B:B,A206))</f>
        <v/>
      </c>
      <c r="E206">
        <f>IF(OR(A206="",C206=""),"",C206-D206)</f>
        <v/>
      </c>
    </row>
    <row r="207">
      <c r="D207">
        <f>IF(A207="","",SUMIFS(Contributions!E:E,Contributions!B:B,A207))</f>
        <v/>
      </c>
      <c r="E207">
        <f>IF(OR(A207="",C207=""),"",C207-D207)</f>
        <v/>
      </c>
    </row>
    <row r="208">
      <c r="D208">
        <f>IF(A208="","",SUMIFS(Contributions!E:E,Contributions!B:B,A208))</f>
        <v/>
      </c>
      <c r="E208">
        <f>IF(OR(A208="",C208=""),"",C208-D208)</f>
        <v/>
      </c>
    </row>
    <row r="209">
      <c r="D209">
        <f>IF(A209="","",SUMIFS(Contributions!E:E,Contributions!B:B,A209))</f>
        <v/>
      </c>
      <c r="E209">
        <f>IF(OR(A209="",C209=""),"",C209-D209)</f>
        <v/>
      </c>
    </row>
    <row r="210">
      <c r="D210">
        <f>IF(A210="","",SUMIFS(Contributions!E:E,Contributions!B:B,A210))</f>
        <v/>
      </c>
      <c r="E210">
        <f>IF(OR(A210="",C210=""),"",C210-D210)</f>
        <v/>
      </c>
    </row>
    <row r="211">
      <c r="D211">
        <f>IF(A211="","",SUMIFS(Contributions!E:E,Contributions!B:B,A211))</f>
        <v/>
      </c>
      <c r="E211">
        <f>IF(OR(A211="",C211=""),"",C211-D211)</f>
        <v/>
      </c>
    </row>
    <row r="212">
      <c r="D212">
        <f>IF(A212="","",SUMIFS(Contributions!E:E,Contributions!B:B,A212))</f>
        <v/>
      </c>
      <c r="E212">
        <f>IF(OR(A212="",C212=""),"",C212-D212)</f>
        <v/>
      </c>
    </row>
    <row r="213">
      <c r="D213">
        <f>IF(A213="","",SUMIFS(Contributions!E:E,Contributions!B:B,A213))</f>
        <v/>
      </c>
      <c r="E213">
        <f>IF(OR(A213="",C213=""),"",C213-D213)</f>
        <v/>
      </c>
    </row>
    <row r="214">
      <c r="D214">
        <f>IF(A214="","",SUMIFS(Contributions!E:E,Contributions!B:B,A214))</f>
        <v/>
      </c>
      <c r="E214">
        <f>IF(OR(A214="",C214=""),"",C214-D214)</f>
        <v/>
      </c>
    </row>
    <row r="215">
      <c r="D215">
        <f>IF(A215="","",SUMIFS(Contributions!E:E,Contributions!B:B,A215))</f>
        <v/>
      </c>
      <c r="E215">
        <f>IF(OR(A215="",C215=""),"",C215-D215)</f>
        <v/>
      </c>
    </row>
    <row r="216">
      <c r="D216">
        <f>IF(A216="","",SUMIFS(Contributions!E:E,Contributions!B:B,A216))</f>
        <v/>
      </c>
      <c r="E216">
        <f>IF(OR(A216="",C216=""),"",C216-D216)</f>
        <v/>
      </c>
    </row>
    <row r="217">
      <c r="D217">
        <f>IF(A217="","",SUMIFS(Contributions!E:E,Contributions!B:B,A217))</f>
        <v/>
      </c>
      <c r="E217">
        <f>IF(OR(A217="",C217=""),"",C217-D217)</f>
        <v/>
      </c>
    </row>
    <row r="218">
      <c r="D218">
        <f>IF(A218="","",SUMIFS(Contributions!E:E,Contributions!B:B,A218))</f>
        <v/>
      </c>
      <c r="E218">
        <f>IF(OR(A218="",C218=""),"",C218-D218)</f>
        <v/>
      </c>
    </row>
    <row r="219">
      <c r="D219">
        <f>IF(A219="","",SUMIFS(Contributions!E:E,Contributions!B:B,A219))</f>
        <v/>
      </c>
      <c r="E219">
        <f>IF(OR(A219="",C219=""),"",C219-D219)</f>
        <v/>
      </c>
    </row>
    <row r="220">
      <c r="D220">
        <f>IF(A220="","",SUMIFS(Contributions!E:E,Contributions!B:B,A220))</f>
        <v/>
      </c>
      <c r="E220">
        <f>IF(OR(A220="",C220=""),"",C220-D220)</f>
        <v/>
      </c>
    </row>
    <row r="221">
      <c r="D221">
        <f>IF(A221="","",SUMIFS(Contributions!E:E,Contributions!B:B,A221))</f>
        <v/>
      </c>
      <c r="E221">
        <f>IF(OR(A221="",C221=""),"",C221-D221)</f>
        <v/>
      </c>
    </row>
    <row r="222">
      <c r="D222">
        <f>IF(A222="","",SUMIFS(Contributions!E:E,Contributions!B:B,A222))</f>
        <v/>
      </c>
      <c r="E222">
        <f>IF(OR(A222="",C222=""),"",C222-D222)</f>
        <v/>
      </c>
    </row>
    <row r="223">
      <c r="D223">
        <f>IF(A223="","",SUMIFS(Contributions!E:E,Contributions!B:B,A223))</f>
        <v/>
      </c>
      <c r="E223">
        <f>IF(OR(A223="",C223=""),"",C223-D223)</f>
        <v/>
      </c>
    </row>
    <row r="224">
      <c r="D224">
        <f>IF(A224="","",SUMIFS(Contributions!E:E,Contributions!B:B,A224))</f>
        <v/>
      </c>
      <c r="E224">
        <f>IF(OR(A224="",C224=""),"",C224-D224)</f>
        <v/>
      </c>
    </row>
    <row r="225">
      <c r="D225">
        <f>IF(A225="","",SUMIFS(Contributions!E:E,Contributions!B:B,A225))</f>
        <v/>
      </c>
      <c r="E225">
        <f>IF(OR(A225="",C225=""),"",C225-D225)</f>
        <v/>
      </c>
    </row>
    <row r="226">
      <c r="D226">
        <f>IF(A226="","",SUMIFS(Contributions!E:E,Contributions!B:B,A226))</f>
        <v/>
      </c>
      <c r="E226">
        <f>IF(OR(A226="",C226=""),"",C226-D226)</f>
        <v/>
      </c>
    </row>
    <row r="227">
      <c r="D227">
        <f>IF(A227="","",SUMIFS(Contributions!E:E,Contributions!B:B,A227))</f>
        <v/>
      </c>
      <c r="E227">
        <f>IF(OR(A227="",C227=""),"",C227-D227)</f>
        <v/>
      </c>
    </row>
    <row r="228">
      <c r="D228">
        <f>IF(A228="","",SUMIFS(Contributions!E:E,Contributions!B:B,A228))</f>
        <v/>
      </c>
      <c r="E228">
        <f>IF(OR(A228="",C228=""),"",C228-D228)</f>
        <v/>
      </c>
    </row>
    <row r="229">
      <c r="D229">
        <f>IF(A229="","",SUMIFS(Contributions!E:E,Contributions!B:B,A229))</f>
        <v/>
      </c>
      <c r="E229">
        <f>IF(OR(A229="",C229=""),"",C229-D229)</f>
        <v/>
      </c>
    </row>
    <row r="230">
      <c r="D230">
        <f>IF(A230="","",SUMIFS(Contributions!E:E,Contributions!B:B,A230))</f>
        <v/>
      </c>
      <c r="E230">
        <f>IF(OR(A230="",C230=""),"",C230-D230)</f>
        <v/>
      </c>
    </row>
    <row r="231">
      <c r="D231">
        <f>IF(A231="","",SUMIFS(Contributions!E:E,Contributions!B:B,A231))</f>
        <v/>
      </c>
      <c r="E231">
        <f>IF(OR(A231="",C231=""),"",C231-D231)</f>
        <v/>
      </c>
    </row>
    <row r="232">
      <c r="D232">
        <f>IF(A232="","",SUMIFS(Contributions!E:E,Contributions!B:B,A232))</f>
        <v/>
      </c>
      <c r="E232">
        <f>IF(OR(A232="",C232=""),"",C232-D232)</f>
        <v/>
      </c>
    </row>
    <row r="233">
      <c r="D233">
        <f>IF(A233="","",SUMIFS(Contributions!E:E,Contributions!B:B,A233))</f>
        <v/>
      </c>
      <c r="E233">
        <f>IF(OR(A233="",C233=""),"",C233-D233)</f>
        <v/>
      </c>
    </row>
    <row r="234">
      <c r="D234">
        <f>IF(A234="","",SUMIFS(Contributions!E:E,Contributions!B:B,A234))</f>
        <v/>
      </c>
      <c r="E234">
        <f>IF(OR(A234="",C234=""),"",C234-D234)</f>
        <v/>
      </c>
    </row>
    <row r="235">
      <c r="D235">
        <f>IF(A235="","",SUMIFS(Contributions!E:E,Contributions!B:B,A235))</f>
        <v/>
      </c>
      <c r="E235">
        <f>IF(OR(A235="",C235=""),"",C235-D235)</f>
        <v/>
      </c>
    </row>
    <row r="236">
      <c r="D236">
        <f>IF(A236="","",SUMIFS(Contributions!E:E,Contributions!B:B,A236))</f>
        <v/>
      </c>
      <c r="E236">
        <f>IF(OR(A236="",C236=""),"",C236-D236)</f>
        <v/>
      </c>
    </row>
    <row r="237">
      <c r="D237">
        <f>IF(A237="","",SUMIFS(Contributions!E:E,Contributions!B:B,A237))</f>
        <v/>
      </c>
      <c r="E237">
        <f>IF(OR(A237="",C237=""),"",C237-D237)</f>
        <v/>
      </c>
    </row>
    <row r="238">
      <c r="D238">
        <f>IF(A238="","",SUMIFS(Contributions!E:E,Contributions!B:B,A238))</f>
        <v/>
      </c>
      <c r="E238">
        <f>IF(OR(A238="",C238=""),"",C238-D238)</f>
        <v/>
      </c>
    </row>
    <row r="239">
      <c r="D239">
        <f>IF(A239="","",SUMIFS(Contributions!E:E,Contributions!B:B,A239))</f>
        <v/>
      </c>
      <c r="E239">
        <f>IF(OR(A239="",C239=""),"",C239-D239)</f>
        <v/>
      </c>
    </row>
    <row r="240">
      <c r="D240">
        <f>IF(A240="","",SUMIFS(Contributions!E:E,Contributions!B:B,A240))</f>
        <v/>
      </c>
      <c r="E240">
        <f>IF(OR(A240="",C240=""),"",C240-D240)</f>
        <v/>
      </c>
    </row>
    <row r="241">
      <c r="D241">
        <f>IF(A241="","",SUMIFS(Contributions!E:E,Contributions!B:B,A241))</f>
        <v/>
      </c>
      <c r="E241">
        <f>IF(OR(A241="",C241=""),"",C241-D241)</f>
        <v/>
      </c>
    </row>
    <row r="242">
      <c r="D242">
        <f>IF(A242="","",SUMIFS(Contributions!E:E,Contributions!B:B,A242))</f>
        <v/>
      </c>
      <c r="E242">
        <f>IF(OR(A242="",C242=""),"",C242-D242)</f>
        <v/>
      </c>
    </row>
    <row r="243">
      <c r="D243">
        <f>IF(A243="","",SUMIFS(Contributions!E:E,Contributions!B:B,A243))</f>
        <v/>
      </c>
      <c r="E243">
        <f>IF(OR(A243="",C243=""),"",C243-D243)</f>
        <v/>
      </c>
    </row>
    <row r="244">
      <c r="D244">
        <f>IF(A244="","",SUMIFS(Contributions!E:E,Contributions!B:B,A244))</f>
        <v/>
      </c>
      <c r="E244">
        <f>IF(OR(A244="",C244=""),"",C244-D244)</f>
        <v/>
      </c>
    </row>
    <row r="245">
      <c r="D245">
        <f>IF(A245="","",SUMIFS(Contributions!E:E,Contributions!B:B,A245))</f>
        <v/>
      </c>
      <c r="E245">
        <f>IF(OR(A245="",C245=""),"",C245-D245)</f>
        <v/>
      </c>
    </row>
    <row r="246">
      <c r="D246">
        <f>IF(A246="","",SUMIFS(Contributions!E:E,Contributions!B:B,A246))</f>
        <v/>
      </c>
      <c r="E246">
        <f>IF(OR(A246="",C246=""),"",C246-D246)</f>
        <v/>
      </c>
    </row>
    <row r="247">
      <c r="D247">
        <f>IF(A247="","",SUMIFS(Contributions!E:E,Contributions!B:B,A247))</f>
        <v/>
      </c>
      <c r="E247">
        <f>IF(OR(A247="",C247=""),"",C247-D247)</f>
        <v/>
      </c>
    </row>
    <row r="248">
      <c r="D248">
        <f>IF(A248="","",SUMIFS(Contributions!E:E,Contributions!B:B,A248))</f>
        <v/>
      </c>
      <c r="E248">
        <f>IF(OR(A248="",C248=""),"",C248-D248)</f>
        <v/>
      </c>
    </row>
    <row r="249">
      <c r="D249">
        <f>IF(A249="","",SUMIFS(Contributions!E:E,Contributions!B:B,A249))</f>
        <v/>
      </c>
      <c r="E249">
        <f>IF(OR(A249="",C249=""),"",C249-D249)</f>
        <v/>
      </c>
    </row>
    <row r="250">
      <c r="D250">
        <f>IF(A250="","",SUMIFS(Contributions!E:E,Contributions!B:B,A250))</f>
        <v/>
      </c>
      <c r="E250">
        <f>IF(OR(A250="",C250=""),"",C250-D250)</f>
        <v/>
      </c>
    </row>
    <row r="251">
      <c r="D251">
        <f>IF(A251="","",SUMIFS(Contributions!E:E,Contributions!B:B,A251))</f>
        <v/>
      </c>
      <c r="E251">
        <f>IF(OR(A251="",C251=""),"",C251-D251)</f>
        <v/>
      </c>
    </row>
    <row r="252">
      <c r="D252">
        <f>IF(A252="","",SUMIFS(Contributions!E:E,Contributions!B:B,A252))</f>
        <v/>
      </c>
      <c r="E252">
        <f>IF(OR(A252="",C252=""),"",C252-D252)</f>
        <v/>
      </c>
    </row>
    <row r="253">
      <c r="D253">
        <f>IF(A253="","",SUMIFS(Contributions!E:E,Contributions!B:B,A253))</f>
        <v/>
      </c>
      <c r="E253">
        <f>IF(OR(A253="",C253=""),"",C253-D253)</f>
        <v/>
      </c>
    </row>
    <row r="254">
      <c r="D254">
        <f>IF(A254="","",SUMIFS(Contributions!E:E,Contributions!B:B,A254))</f>
        <v/>
      </c>
      <c r="E254">
        <f>IF(OR(A254="",C254=""),"",C254-D254)</f>
        <v/>
      </c>
    </row>
    <row r="255">
      <c r="D255">
        <f>IF(A255="","",SUMIFS(Contributions!E:E,Contributions!B:B,A255))</f>
        <v/>
      </c>
      <c r="E255">
        <f>IF(OR(A255="",C255=""),"",C255-D255)</f>
        <v/>
      </c>
    </row>
    <row r="256">
      <c r="D256">
        <f>IF(A256="","",SUMIFS(Contributions!E:E,Contributions!B:B,A256))</f>
        <v/>
      </c>
      <c r="E256">
        <f>IF(OR(A256="",C256=""),"",C256-D256)</f>
        <v/>
      </c>
    </row>
    <row r="257">
      <c r="D257">
        <f>IF(A257="","",SUMIFS(Contributions!E:E,Contributions!B:B,A257))</f>
        <v/>
      </c>
      <c r="E257">
        <f>IF(OR(A257="",C257=""),"",C257-D257)</f>
        <v/>
      </c>
    </row>
    <row r="258">
      <c r="D258">
        <f>IF(A258="","",SUMIFS(Contributions!E:E,Contributions!B:B,A258))</f>
        <v/>
      </c>
      <c r="E258">
        <f>IF(OR(A258="",C258=""),"",C258-D258)</f>
        <v/>
      </c>
    </row>
    <row r="259">
      <c r="D259">
        <f>IF(A259="","",SUMIFS(Contributions!E:E,Contributions!B:B,A259))</f>
        <v/>
      </c>
      <c r="E259">
        <f>IF(OR(A259="",C259=""),"",C259-D259)</f>
        <v/>
      </c>
    </row>
    <row r="260">
      <c r="D260">
        <f>IF(A260="","",SUMIFS(Contributions!E:E,Contributions!B:B,A260))</f>
        <v/>
      </c>
      <c r="E260">
        <f>IF(OR(A260="",C260=""),"",C260-D260)</f>
        <v/>
      </c>
    </row>
    <row r="261">
      <c r="D261">
        <f>IF(A261="","",SUMIFS(Contributions!E:E,Contributions!B:B,A261))</f>
        <v/>
      </c>
      <c r="E261">
        <f>IF(OR(A261="",C261=""),"",C261-D261)</f>
        <v/>
      </c>
    </row>
    <row r="262">
      <c r="D262">
        <f>IF(A262="","",SUMIFS(Contributions!E:E,Contributions!B:B,A262))</f>
        <v/>
      </c>
      <c r="E262">
        <f>IF(OR(A262="",C262=""),"",C262-D262)</f>
        <v/>
      </c>
    </row>
    <row r="263">
      <c r="D263">
        <f>IF(A263="","",SUMIFS(Contributions!E:E,Contributions!B:B,A263))</f>
        <v/>
      </c>
      <c r="E263">
        <f>IF(OR(A263="",C263=""),"",C263-D263)</f>
        <v/>
      </c>
    </row>
    <row r="264">
      <c r="D264">
        <f>IF(A264="","",SUMIFS(Contributions!E:E,Contributions!B:B,A264))</f>
        <v/>
      </c>
      <c r="E264">
        <f>IF(OR(A264="",C264=""),"",C264-D264)</f>
        <v/>
      </c>
    </row>
    <row r="265">
      <c r="D265">
        <f>IF(A265="","",SUMIFS(Contributions!E:E,Contributions!B:B,A265))</f>
        <v/>
      </c>
      <c r="E265">
        <f>IF(OR(A265="",C265=""),"",C265-D265)</f>
        <v/>
      </c>
    </row>
    <row r="266">
      <c r="D266">
        <f>IF(A266="","",SUMIFS(Contributions!E:E,Contributions!B:B,A266))</f>
        <v/>
      </c>
      <c r="E266">
        <f>IF(OR(A266="",C266=""),"",C266-D266)</f>
        <v/>
      </c>
    </row>
    <row r="267">
      <c r="D267">
        <f>IF(A267="","",SUMIFS(Contributions!E:E,Contributions!B:B,A267))</f>
        <v/>
      </c>
      <c r="E267">
        <f>IF(OR(A267="",C267=""),"",C267-D267)</f>
        <v/>
      </c>
    </row>
    <row r="268">
      <c r="D268">
        <f>IF(A268="","",SUMIFS(Contributions!E:E,Contributions!B:B,A268))</f>
        <v/>
      </c>
      <c r="E268">
        <f>IF(OR(A268="",C268=""),"",C268-D268)</f>
        <v/>
      </c>
    </row>
    <row r="269">
      <c r="D269">
        <f>IF(A269="","",SUMIFS(Contributions!E:E,Contributions!B:B,A269))</f>
        <v/>
      </c>
      <c r="E269">
        <f>IF(OR(A269="",C269=""),"",C269-D269)</f>
        <v/>
      </c>
    </row>
    <row r="270">
      <c r="D270">
        <f>IF(A270="","",SUMIFS(Contributions!E:E,Contributions!B:B,A270))</f>
        <v/>
      </c>
      <c r="E270">
        <f>IF(OR(A270="",C270=""),"",C270-D270)</f>
        <v/>
      </c>
    </row>
    <row r="271">
      <c r="D271">
        <f>IF(A271="","",SUMIFS(Contributions!E:E,Contributions!B:B,A271))</f>
        <v/>
      </c>
      <c r="E271">
        <f>IF(OR(A271="",C271=""),"",C271-D271)</f>
        <v/>
      </c>
    </row>
    <row r="272">
      <c r="D272">
        <f>IF(A272="","",SUMIFS(Contributions!E:E,Contributions!B:B,A272))</f>
        <v/>
      </c>
      <c r="E272">
        <f>IF(OR(A272="",C272=""),"",C272-D272)</f>
        <v/>
      </c>
    </row>
    <row r="273">
      <c r="D273">
        <f>IF(A273="","",SUMIFS(Contributions!E:E,Contributions!B:B,A273))</f>
        <v/>
      </c>
      <c r="E273">
        <f>IF(OR(A273="",C273=""),"",C273-D273)</f>
        <v/>
      </c>
    </row>
    <row r="274">
      <c r="D274">
        <f>IF(A274="","",SUMIFS(Contributions!E:E,Contributions!B:B,A274))</f>
        <v/>
      </c>
      <c r="E274">
        <f>IF(OR(A274="",C274=""),"",C274-D274)</f>
        <v/>
      </c>
    </row>
    <row r="275">
      <c r="D275">
        <f>IF(A275="","",SUMIFS(Contributions!E:E,Contributions!B:B,A275))</f>
        <v/>
      </c>
      <c r="E275">
        <f>IF(OR(A275="",C275=""),"",C275-D275)</f>
        <v/>
      </c>
    </row>
    <row r="276">
      <c r="D276">
        <f>IF(A276="","",SUMIFS(Contributions!E:E,Contributions!B:B,A276))</f>
        <v/>
      </c>
      <c r="E276">
        <f>IF(OR(A276="",C276=""),"",C276-D276)</f>
        <v/>
      </c>
    </row>
    <row r="277">
      <c r="D277">
        <f>IF(A277="","",SUMIFS(Contributions!E:E,Contributions!B:B,A277))</f>
        <v/>
      </c>
      <c r="E277">
        <f>IF(OR(A277="",C277=""),"",C277-D277)</f>
        <v/>
      </c>
    </row>
    <row r="278">
      <c r="D278">
        <f>IF(A278="","",SUMIFS(Contributions!E:E,Contributions!B:B,A278))</f>
        <v/>
      </c>
      <c r="E278">
        <f>IF(OR(A278="",C278=""),"",C278-D278)</f>
        <v/>
      </c>
    </row>
    <row r="279">
      <c r="D279">
        <f>IF(A279="","",SUMIFS(Contributions!E:E,Contributions!B:B,A279))</f>
        <v/>
      </c>
      <c r="E279">
        <f>IF(OR(A279="",C279=""),"",C279-D279)</f>
        <v/>
      </c>
    </row>
    <row r="280">
      <c r="D280">
        <f>IF(A280="","",SUMIFS(Contributions!E:E,Contributions!B:B,A280))</f>
        <v/>
      </c>
      <c r="E280">
        <f>IF(OR(A280="",C280=""),"",C280-D280)</f>
        <v/>
      </c>
    </row>
    <row r="281">
      <c r="D281">
        <f>IF(A281="","",SUMIFS(Contributions!E:E,Contributions!B:B,A281))</f>
        <v/>
      </c>
      <c r="E281">
        <f>IF(OR(A281="",C281=""),"",C281-D281)</f>
        <v/>
      </c>
    </row>
    <row r="282">
      <c r="D282">
        <f>IF(A282="","",SUMIFS(Contributions!E:E,Contributions!B:B,A282))</f>
        <v/>
      </c>
      <c r="E282">
        <f>IF(OR(A282="",C282=""),"",C282-D282)</f>
        <v/>
      </c>
    </row>
    <row r="283">
      <c r="D283">
        <f>IF(A283="","",SUMIFS(Contributions!E:E,Contributions!B:B,A283))</f>
        <v/>
      </c>
      <c r="E283">
        <f>IF(OR(A283="",C283=""),"",C283-D283)</f>
        <v/>
      </c>
    </row>
    <row r="284">
      <c r="D284">
        <f>IF(A284="","",SUMIFS(Contributions!E:E,Contributions!B:B,A284))</f>
        <v/>
      </c>
      <c r="E284">
        <f>IF(OR(A284="",C284=""),"",C284-D284)</f>
        <v/>
      </c>
    </row>
    <row r="285">
      <c r="D285">
        <f>IF(A285="","",SUMIFS(Contributions!E:E,Contributions!B:B,A285))</f>
        <v/>
      </c>
      <c r="E285">
        <f>IF(OR(A285="",C285=""),"",C285-D285)</f>
        <v/>
      </c>
    </row>
    <row r="286">
      <c r="D286">
        <f>IF(A286="","",SUMIFS(Contributions!E:E,Contributions!B:B,A286))</f>
        <v/>
      </c>
      <c r="E286">
        <f>IF(OR(A286="",C286=""),"",C286-D286)</f>
        <v/>
      </c>
    </row>
    <row r="287">
      <c r="D287">
        <f>IF(A287="","",SUMIFS(Contributions!E:E,Contributions!B:B,A287))</f>
        <v/>
      </c>
      <c r="E287">
        <f>IF(OR(A287="",C287=""),"",C287-D287)</f>
        <v/>
      </c>
    </row>
    <row r="288">
      <c r="D288">
        <f>IF(A288="","",SUMIFS(Contributions!E:E,Contributions!B:B,A288))</f>
        <v/>
      </c>
      <c r="E288">
        <f>IF(OR(A288="",C288=""),"",C288-D288)</f>
        <v/>
      </c>
    </row>
    <row r="289">
      <c r="D289">
        <f>IF(A289="","",SUMIFS(Contributions!E:E,Contributions!B:B,A289))</f>
        <v/>
      </c>
      <c r="E289">
        <f>IF(OR(A289="",C289=""),"",C289-D289)</f>
        <v/>
      </c>
    </row>
    <row r="290">
      <c r="D290">
        <f>IF(A290="","",SUMIFS(Contributions!E:E,Contributions!B:B,A290))</f>
        <v/>
      </c>
      <c r="E290">
        <f>IF(OR(A290="",C290=""),"",C290-D290)</f>
        <v/>
      </c>
    </row>
    <row r="291">
      <c r="D291">
        <f>IF(A291="","",SUMIFS(Contributions!E:E,Contributions!B:B,A291))</f>
        <v/>
      </c>
      <c r="E291">
        <f>IF(OR(A291="",C291=""),"",C291-D291)</f>
        <v/>
      </c>
    </row>
    <row r="292">
      <c r="D292">
        <f>IF(A292="","",SUMIFS(Contributions!E:E,Contributions!B:B,A292))</f>
        <v/>
      </c>
      <c r="E292">
        <f>IF(OR(A292="",C292=""),"",C292-D292)</f>
        <v/>
      </c>
    </row>
    <row r="293">
      <c r="D293">
        <f>IF(A293="","",SUMIFS(Contributions!E:E,Contributions!B:B,A293))</f>
        <v/>
      </c>
      <c r="E293">
        <f>IF(OR(A293="",C293=""),"",C293-D293)</f>
        <v/>
      </c>
    </row>
    <row r="294">
      <c r="D294">
        <f>IF(A294="","",SUMIFS(Contributions!E:E,Contributions!B:B,A294))</f>
        <v/>
      </c>
      <c r="E294">
        <f>IF(OR(A294="",C294=""),"",C294-D294)</f>
        <v/>
      </c>
    </row>
    <row r="295">
      <c r="D295">
        <f>IF(A295="","",SUMIFS(Contributions!E:E,Contributions!B:B,A295))</f>
        <v/>
      </c>
      <c r="E295">
        <f>IF(OR(A295="",C295=""),"",C295-D295)</f>
        <v/>
      </c>
    </row>
    <row r="296">
      <c r="D296">
        <f>IF(A296="","",SUMIFS(Contributions!E:E,Contributions!B:B,A296))</f>
        <v/>
      </c>
      <c r="E296">
        <f>IF(OR(A296="",C296=""),"",C296-D296)</f>
        <v/>
      </c>
    </row>
    <row r="297">
      <c r="D297">
        <f>IF(A297="","",SUMIFS(Contributions!E:E,Contributions!B:B,A297))</f>
        <v/>
      </c>
      <c r="E297">
        <f>IF(OR(A297="",C297=""),"",C297-D297)</f>
        <v/>
      </c>
    </row>
    <row r="298">
      <c r="D298">
        <f>IF(A298="","",SUMIFS(Contributions!E:E,Contributions!B:B,A298))</f>
        <v/>
      </c>
      <c r="E298">
        <f>IF(OR(A298="",C298=""),"",C298-D298)</f>
        <v/>
      </c>
    </row>
    <row r="299">
      <c r="D299">
        <f>IF(A299="","",SUMIFS(Contributions!E:E,Contributions!B:B,A299))</f>
        <v/>
      </c>
      <c r="E299">
        <f>IF(OR(A299="",C299=""),"",C299-D299)</f>
        <v/>
      </c>
    </row>
    <row r="300">
      <c r="D300">
        <f>IF(A300="","",SUMIFS(Contributions!E:E,Contributions!B:B,A300))</f>
        <v/>
      </c>
      <c r="E300">
        <f>IF(OR(A300="",C300=""),"",C300-D300)</f>
        <v/>
      </c>
    </row>
    <row r="301">
      <c r="D301">
        <f>IF(A301="","",SUMIFS(Contributions!E:E,Contributions!B:B,A301))</f>
        <v/>
      </c>
      <c r="E301">
        <f>IF(OR(A301="",C301=""),"",C301-D301)</f>
        <v/>
      </c>
    </row>
    <row r="302">
      <c r="D302">
        <f>IF(A302="","",SUMIFS(Contributions!E:E,Contributions!B:B,A302))</f>
        <v/>
      </c>
      <c r="E302">
        <f>IF(OR(A302="",C302=""),"",C302-D302)</f>
        <v/>
      </c>
    </row>
    <row r="303">
      <c r="D303">
        <f>IF(A303="","",SUMIFS(Contributions!E:E,Contributions!B:B,A303))</f>
        <v/>
      </c>
      <c r="E303">
        <f>IF(OR(A303="",C303=""),"",C303-D303)</f>
        <v/>
      </c>
    </row>
    <row r="304">
      <c r="D304">
        <f>IF(A304="","",SUMIFS(Contributions!E:E,Contributions!B:B,A304))</f>
        <v/>
      </c>
      <c r="E304">
        <f>IF(OR(A304="",C304=""),"",C304-D304)</f>
        <v/>
      </c>
    </row>
    <row r="305">
      <c r="D305">
        <f>IF(A305="","",SUMIFS(Contributions!E:E,Contributions!B:B,A305))</f>
        <v/>
      </c>
      <c r="E305">
        <f>IF(OR(A305="",C305=""),"",C305-D305)</f>
        <v/>
      </c>
    </row>
    <row r="306">
      <c r="D306">
        <f>IF(A306="","",SUMIFS(Contributions!E:E,Contributions!B:B,A306))</f>
        <v/>
      </c>
      <c r="E306">
        <f>IF(OR(A306="",C306=""),"",C306-D306)</f>
        <v/>
      </c>
    </row>
    <row r="307">
      <c r="D307">
        <f>IF(A307="","",SUMIFS(Contributions!E:E,Contributions!B:B,A307))</f>
        <v/>
      </c>
      <c r="E307">
        <f>IF(OR(A307="",C307=""),"",C307-D307)</f>
        <v/>
      </c>
    </row>
    <row r="308">
      <c r="D308">
        <f>IF(A308="","",SUMIFS(Contributions!E:E,Contributions!B:B,A308))</f>
        <v/>
      </c>
      <c r="E308">
        <f>IF(OR(A308="",C308=""),"",C308-D308)</f>
        <v/>
      </c>
    </row>
    <row r="309">
      <c r="D309">
        <f>IF(A309="","",SUMIFS(Contributions!E:E,Contributions!B:B,A309))</f>
        <v/>
      </c>
      <c r="E309">
        <f>IF(OR(A309="",C309=""),"",C309-D309)</f>
        <v/>
      </c>
    </row>
    <row r="310">
      <c r="D310">
        <f>IF(A310="","",SUMIFS(Contributions!E:E,Contributions!B:B,A310))</f>
        <v/>
      </c>
      <c r="E310">
        <f>IF(OR(A310="",C310=""),"",C310-D310)</f>
        <v/>
      </c>
    </row>
    <row r="311">
      <c r="D311">
        <f>IF(A311="","",SUMIFS(Contributions!E:E,Contributions!B:B,A311))</f>
        <v/>
      </c>
      <c r="E311">
        <f>IF(OR(A311="",C311=""),"",C311-D311)</f>
        <v/>
      </c>
    </row>
    <row r="312">
      <c r="D312">
        <f>IF(A312="","",SUMIFS(Contributions!E:E,Contributions!B:B,A312))</f>
        <v/>
      </c>
      <c r="E312">
        <f>IF(OR(A312="",C312=""),"",C312-D312)</f>
        <v/>
      </c>
    </row>
    <row r="313">
      <c r="D313">
        <f>IF(A313="","",SUMIFS(Contributions!E:E,Contributions!B:B,A313))</f>
        <v/>
      </c>
      <c r="E313">
        <f>IF(OR(A313="",C313=""),"",C313-D313)</f>
        <v/>
      </c>
    </row>
    <row r="314">
      <c r="D314">
        <f>IF(A314="","",SUMIFS(Contributions!E:E,Contributions!B:B,A314))</f>
        <v/>
      </c>
      <c r="E314">
        <f>IF(OR(A314="",C314=""),"",C314-D314)</f>
        <v/>
      </c>
    </row>
    <row r="315">
      <c r="D315">
        <f>IF(A315="","",SUMIFS(Contributions!E:E,Contributions!B:B,A315))</f>
        <v/>
      </c>
      <c r="E315">
        <f>IF(OR(A315="",C315=""),"",C315-D315)</f>
        <v/>
      </c>
    </row>
    <row r="316">
      <c r="D316">
        <f>IF(A316="","",SUMIFS(Contributions!E:E,Contributions!B:B,A316))</f>
        <v/>
      </c>
      <c r="E316">
        <f>IF(OR(A316="",C316=""),"",C316-D316)</f>
        <v/>
      </c>
    </row>
    <row r="317">
      <c r="D317">
        <f>IF(A317="","",SUMIFS(Contributions!E:E,Contributions!B:B,A317))</f>
        <v/>
      </c>
      <c r="E317">
        <f>IF(OR(A317="",C317=""),"",C317-D317)</f>
        <v/>
      </c>
    </row>
    <row r="318">
      <c r="D318">
        <f>IF(A318="","",SUMIFS(Contributions!E:E,Contributions!B:B,A318))</f>
        <v/>
      </c>
      <c r="E318">
        <f>IF(OR(A318="",C318=""),"",C318-D318)</f>
        <v/>
      </c>
    </row>
    <row r="319">
      <c r="D319">
        <f>IF(A319="","",SUMIFS(Contributions!E:E,Contributions!B:B,A319))</f>
        <v/>
      </c>
      <c r="E319">
        <f>IF(OR(A319="",C319=""),"",C319-D319)</f>
        <v/>
      </c>
    </row>
    <row r="320">
      <c r="D320">
        <f>IF(A320="","",SUMIFS(Contributions!E:E,Contributions!B:B,A320))</f>
        <v/>
      </c>
      <c r="E320">
        <f>IF(OR(A320="",C320=""),"",C320-D320)</f>
        <v/>
      </c>
    </row>
    <row r="321">
      <c r="D321">
        <f>IF(A321="","",SUMIFS(Contributions!E:E,Contributions!B:B,A321))</f>
        <v/>
      </c>
      <c r="E321">
        <f>IF(OR(A321="",C321=""),"",C321-D321)</f>
        <v/>
      </c>
    </row>
    <row r="322">
      <c r="D322">
        <f>IF(A322="","",SUMIFS(Contributions!E:E,Contributions!B:B,A322))</f>
        <v/>
      </c>
      <c r="E322">
        <f>IF(OR(A322="",C322=""),"",C322-D322)</f>
        <v/>
      </c>
    </row>
    <row r="323">
      <c r="D323">
        <f>IF(A323="","",SUMIFS(Contributions!E:E,Contributions!B:B,A323))</f>
        <v/>
      </c>
      <c r="E323">
        <f>IF(OR(A323="",C323=""),"",C323-D323)</f>
        <v/>
      </c>
    </row>
    <row r="324">
      <c r="D324">
        <f>IF(A324="","",SUMIFS(Contributions!E:E,Contributions!B:B,A324))</f>
        <v/>
      </c>
      <c r="E324">
        <f>IF(OR(A324="",C324=""),"",C324-D324)</f>
        <v/>
      </c>
    </row>
    <row r="325">
      <c r="D325">
        <f>IF(A325="","",SUMIFS(Contributions!E:E,Contributions!B:B,A325))</f>
        <v/>
      </c>
      <c r="E325">
        <f>IF(OR(A325="",C325=""),"",C325-D325)</f>
        <v/>
      </c>
    </row>
    <row r="326">
      <c r="D326">
        <f>IF(A326="","",SUMIFS(Contributions!E:E,Contributions!B:B,A326))</f>
        <v/>
      </c>
      <c r="E326">
        <f>IF(OR(A326="",C326=""),"",C326-D326)</f>
        <v/>
      </c>
    </row>
    <row r="327">
      <c r="D327">
        <f>IF(A327="","",SUMIFS(Contributions!E:E,Contributions!B:B,A327))</f>
        <v/>
      </c>
      <c r="E327">
        <f>IF(OR(A327="",C327=""),"",C327-D327)</f>
        <v/>
      </c>
    </row>
    <row r="328">
      <c r="D328">
        <f>IF(A328="","",SUMIFS(Contributions!E:E,Contributions!B:B,A328))</f>
        <v/>
      </c>
      <c r="E328">
        <f>IF(OR(A328="",C328=""),"",C328-D328)</f>
        <v/>
      </c>
    </row>
    <row r="329">
      <c r="D329">
        <f>IF(A329="","",SUMIFS(Contributions!E:E,Contributions!B:B,A329))</f>
        <v/>
      </c>
      <c r="E329">
        <f>IF(OR(A329="",C329=""),"",C329-D329)</f>
        <v/>
      </c>
    </row>
    <row r="330">
      <c r="D330">
        <f>IF(A330="","",SUMIFS(Contributions!E:E,Contributions!B:B,A330))</f>
        <v/>
      </c>
      <c r="E330">
        <f>IF(OR(A330="",C330=""),"",C330-D330)</f>
        <v/>
      </c>
    </row>
    <row r="331">
      <c r="D331">
        <f>IF(A331="","",SUMIFS(Contributions!E:E,Contributions!B:B,A331))</f>
        <v/>
      </c>
      <c r="E331">
        <f>IF(OR(A331="",C331=""),"",C331-D331)</f>
        <v/>
      </c>
    </row>
    <row r="332">
      <c r="D332">
        <f>IF(A332="","",SUMIFS(Contributions!E:E,Contributions!B:B,A332))</f>
        <v/>
      </c>
      <c r="E332">
        <f>IF(OR(A332="",C332=""),"",C332-D332)</f>
        <v/>
      </c>
    </row>
    <row r="333">
      <c r="D333">
        <f>IF(A333="","",SUMIFS(Contributions!E:E,Contributions!B:B,A333))</f>
        <v/>
      </c>
      <c r="E333">
        <f>IF(OR(A333="",C333=""),"",C333-D333)</f>
        <v/>
      </c>
    </row>
    <row r="334">
      <c r="D334">
        <f>IF(A334="","",SUMIFS(Contributions!E:E,Contributions!B:B,A334))</f>
        <v/>
      </c>
      <c r="E334">
        <f>IF(OR(A334="",C334=""),"",C334-D334)</f>
        <v/>
      </c>
    </row>
    <row r="335">
      <c r="D335">
        <f>IF(A335="","",SUMIFS(Contributions!E:E,Contributions!B:B,A335))</f>
        <v/>
      </c>
      <c r="E335">
        <f>IF(OR(A335="",C335=""),"",C335-D335)</f>
        <v/>
      </c>
    </row>
    <row r="336">
      <c r="D336">
        <f>IF(A336="","",SUMIFS(Contributions!E:E,Contributions!B:B,A336))</f>
        <v/>
      </c>
      <c r="E336">
        <f>IF(OR(A336="",C336=""),"",C336-D336)</f>
        <v/>
      </c>
    </row>
    <row r="337">
      <c r="D337">
        <f>IF(A337="","",SUMIFS(Contributions!E:E,Contributions!B:B,A337))</f>
        <v/>
      </c>
      <c r="E337">
        <f>IF(OR(A337="",C337=""),"",C337-D337)</f>
        <v/>
      </c>
    </row>
    <row r="338">
      <c r="D338">
        <f>IF(A338="","",SUMIFS(Contributions!E:E,Contributions!B:B,A338))</f>
        <v/>
      </c>
      <c r="E338">
        <f>IF(OR(A338="",C338=""),"",C338-D338)</f>
        <v/>
      </c>
    </row>
    <row r="339">
      <c r="D339">
        <f>IF(A339="","",SUMIFS(Contributions!E:E,Contributions!B:B,A339))</f>
        <v/>
      </c>
      <c r="E339">
        <f>IF(OR(A339="",C339=""),"",C339-D339)</f>
        <v/>
      </c>
    </row>
    <row r="340">
      <c r="D340">
        <f>IF(A340="","",SUMIFS(Contributions!E:E,Contributions!B:B,A340))</f>
        <v/>
      </c>
      <c r="E340">
        <f>IF(OR(A340="",C340=""),"",C340-D340)</f>
        <v/>
      </c>
    </row>
    <row r="341">
      <c r="D341">
        <f>IF(A341="","",SUMIFS(Contributions!E:E,Contributions!B:B,A341))</f>
        <v/>
      </c>
      <c r="E341">
        <f>IF(OR(A341="",C341=""),"",C341-D341)</f>
        <v/>
      </c>
    </row>
    <row r="342">
      <c r="D342">
        <f>IF(A342="","",SUMIFS(Contributions!E:E,Contributions!B:B,A342))</f>
        <v/>
      </c>
      <c r="E342">
        <f>IF(OR(A342="",C342=""),"",C342-D342)</f>
        <v/>
      </c>
    </row>
    <row r="343">
      <c r="D343">
        <f>IF(A343="","",SUMIFS(Contributions!E:E,Contributions!B:B,A343))</f>
        <v/>
      </c>
      <c r="E343">
        <f>IF(OR(A343="",C343=""),"",C343-D343)</f>
        <v/>
      </c>
    </row>
    <row r="344">
      <c r="D344">
        <f>IF(A344="","",SUMIFS(Contributions!E:E,Contributions!B:B,A344))</f>
        <v/>
      </c>
      <c r="E344">
        <f>IF(OR(A344="",C344=""),"",C344-D344)</f>
        <v/>
      </c>
    </row>
    <row r="345">
      <c r="D345">
        <f>IF(A345="","",SUMIFS(Contributions!E:E,Contributions!B:B,A345))</f>
        <v/>
      </c>
      <c r="E345">
        <f>IF(OR(A345="",C345=""),"",C345-D345)</f>
        <v/>
      </c>
    </row>
    <row r="346">
      <c r="D346">
        <f>IF(A346="","",SUMIFS(Contributions!E:E,Contributions!B:B,A346))</f>
        <v/>
      </c>
      <c r="E346">
        <f>IF(OR(A346="",C346=""),"",C346-D346)</f>
        <v/>
      </c>
    </row>
    <row r="347">
      <c r="D347">
        <f>IF(A347="","",SUMIFS(Contributions!E:E,Contributions!B:B,A347))</f>
        <v/>
      </c>
      <c r="E347">
        <f>IF(OR(A347="",C347=""),"",C347-D347)</f>
        <v/>
      </c>
    </row>
    <row r="348">
      <c r="D348">
        <f>IF(A348="","",SUMIFS(Contributions!E:E,Contributions!B:B,A348))</f>
        <v/>
      </c>
      <c r="E348">
        <f>IF(OR(A348="",C348=""),"",C348-D348)</f>
        <v/>
      </c>
    </row>
    <row r="349">
      <c r="D349">
        <f>IF(A349="","",SUMIFS(Contributions!E:E,Contributions!B:B,A349))</f>
        <v/>
      </c>
      <c r="E349">
        <f>IF(OR(A349="",C349=""),"",C349-D349)</f>
        <v/>
      </c>
    </row>
    <row r="350">
      <c r="D350">
        <f>IF(A350="","",SUMIFS(Contributions!E:E,Contributions!B:B,A350))</f>
        <v/>
      </c>
      <c r="E350">
        <f>IF(OR(A350="",C350=""),"",C350-D350)</f>
        <v/>
      </c>
    </row>
    <row r="351">
      <c r="D351">
        <f>IF(A351="","",SUMIFS(Contributions!E:E,Contributions!B:B,A351))</f>
        <v/>
      </c>
      <c r="E351">
        <f>IF(OR(A351="",C351=""),"",C351-D351)</f>
        <v/>
      </c>
    </row>
    <row r="352">
      <c r="D352">
        <f>IF(A352="","",SUMIFS(Contributions!E:E,Contributions!B:B,A352))</f>
        <v/>
      </c>
      <c r="E352">
        <f>IF(OR(A352="",C352=""),"",C352-D352)</f>
        <v/>
      </c>
    </row>
    <row r="353">
      <c r="D353">
        <f>IF(A353="","",SUMIFS(Contributions!E:E,Contributions!B:B,A353))</f>
        <v/>
      </c>
      <c r="E353">
        <f>IF(OR(A353="",C353=""),"",C353-D353)</f>
        <v/>
      </c>
    </row>
    <row r="354">
      <c r="D354">
        <f>IF(A354="","",SUMIFS(Contributions!E:E,Contributions!B:B,A354))</f>
        <v/>
      </c>
      <c r="E354">
        <f>IF(OR(A354="",C354=""),"",C354-D354)</f>
        <v/>
      </c>
    </row>
    <row r="355">
      <c r="D355">
        <f>IF(A355="","",SUMIFS(Contributions!E:E,Contributions!B:B,A355))</f>
        <v/>
      </c>
      <c r="E355">
        <f>IF(OR(A355="",C355=""),"",C355-D355)</f>
        <v/>
      </c>
    </row>
    <row r="356">
      <c r="D356">
        <f>IF(A356="","",SUMIFS(Contributions!E:E,Contributions!B:B,A356))</f>
        <v/>
      </c>
      <c r="E356">
        <f>IF(OR(A356="",C356=""),"",C356-D356)</f>
        <v/>
      </c>
    </row>
    <row r="357">
      <c r="D357">
        <f>IF(A357="","",SUMIFS(Contributions!E:E,Contributions!B:B,A357))</f>
        <v/>
      </c>
      <c r="E357">
        <f>IF(OR(A357="",C357=""),"",C357-D357)</f>
        <v/>
      </c>
    </row>
    <row r="358">
      <c r="D358">
        <f>IF(A358="","",SUMIFS(Contributions!E:E,Contributions!B:B,A358))</f>
        <v/>
      </c>
      <c r="E358">
        <f>IF(OR(A358="",C358=""),"",C358-D358)</f>
        <v/>
      </c>
    </row>
    <row r="359">
      <c r="D359">
        <f>IF(A359="","",SUMIFS(Contributions!E:E,Contributions!B:B,A359))</f>
        <v/>
      </c>
      <c r="E359">
        <f>IF(OR(A359="",C359=""),"",C359-D359)</f>
        <v/>
      </c>
    </row>
    <row r="360">
      <c r="D360">
        <f>IF(A360="","",SUMIFS(Contributions!E:E,Contributions!B:B,A360))</f>
        <v/>
      </c>
      <c r="E360">
        <f>IF(OR(A360="",C360=""),"",C360-D360)</f>
        <v/>
      </c>
    </row>
    <row r="361">
      <c r="D361">
        <f>IF(A361="","",SUMIFS(Contributions!E:E,Contributions!B:B,A361))</f>
        <v/>
      </c>
      <c r="E361">
        <f>IF(OR(A361="",C361=""),"",C361-D361)</f>
        <v/>
      </c>
    </row>
    <row r="362">
      <c r="D362">
        <f>IF(A362="","",SUMIFS(Contributions!E:E,Contributions!B:B,A362))</f>
        <v/>
      </c>
      <c r="E362">
        <f>IF(OR(A362="",C362=""),"",C362-D362)</f>
        <v/>
      </c>
    </row>
    <row r="363">
      <c r="D363">
        <f>IF(A363="","",SUMIFS(Contributions!E:E,Contributions!B:B,A363))</f>
        <v/>
      </c>
      <c r="E363">
        <f>IF(OR(A363="",C363=""),"",C363-D363)</f>
        <v/>
      </c>
    </row>
    <row r="364">
      <c r="D364">
        <f>IF(A364="","",SUMIFS(Contributions!E:E,Contributions!B:B,A364))</f>
        <v/>
      </c>
      <c r="E364">
        <f>IF(OR(A364="",C364=""),"",C364-D364)</f>
        <v/>
      </c>
    </row>
    <row r="365">
      <c r="D365">
        <f>IF(A365="","",SUMIFS(Contributions!E:E,Contributions!B:B,A365))</f>
        <v/>
      </c>
      <c r="E365">
        <f>IF(OR(A365="",C365=""),"",C365-D365)</f>
        <v/>
      </c>
    </row>
    <row r="366">
      <c r="D366">
        <f>IF(A366="","",SUMIFS(Contributions!E:E,Contributions!B:B,A366))</f>
        <v/>
      </c>
      <c r="E366">
        <f>IF(OR(A366="",C366=""),"",C366-D366)</f>
        <v/>
      </c>
    </row>
    <row r="367">
      <c r="D367">
        <f>IF(A367="","",SUMIFS(Contributions!E:E,Contributions!B:B,A367))</f>
        <v/>
      </c>
      <c r="E367">
        <f>IF(OR(A367="",C367=""),"",C367-D367)</f>
        <v/>
      </c>
    </row>
    <row r="368">
      <c r="D368">
        <f>IF(A368="","",SUMIFS(Contributions!E:E,Contributions!B:B,A368))</f>
        <v/>
      </c>
      <c r="E368">
        <f>IF(OR(A368="",C368=""),"",C368-D368)</f>
        <v/>
      </c>
    </row>
    <row r="369">
      <c r="D369">
        <f>IF(A369="","",SUMIFS(Contributions!E:E,Contributions!B:B,A369))</f>
        <v/>
      </c>
      <c r="E369">
        <f>IF(OR(A369="",C369=""),"",C369-D369)</f>
        <v/>
      </c>
    </row>
    <row r="370">
      <c r="D370">
        <f>IF(A370="","",SUMIFS(Contributions!E:E,Contributions!B:B,A370))</f>
        <v/>
      </c>
      <c r="E370">
        <f>IF(OR(A370="",C370=""),"",C370-D370)</f>
        <v/>
      </c>
    </row>
    <row r="371">
      <c r="D371">
        <f>IF(A371="","",SUMIFS(Contributions!E:E,Contributions!B:B,A371))</f>
        <v/>
      </c>
      <c r="E371">
        <f>IF(OR(A371="",C371=""),"",C371-D371)</f>
        <v/>
      </c>
    </row>
    <row r="372">
      <c r="D372">
        <f>IF(A372="","",SUMIFS(Contributions!E:E,Contributions!B:B,A372))</f>
        <v/>
      </c>
      <c r="E372">
        <f>IF(OR(A372="",C372=""),"",C372-D372)</f>
        <v/>
      </c>
    </row>
    <row r="373">
      <c r="D373">
        <f>IF(A373="","",SUMIFS(Contributions!E:E,Contributions!B:B,A373))</f>
        <v/>
      </c>
      <c r="E373">
        <f>IF(OR(A373="",C373=""),"",C373-D373)</f>
        <v/>
      </c>
    </row>
    <row r="374">
      <c r="D374">
        <f>IF(A374="","",SUMIFS(Contributions!E:E,Contributions!B:B,A374))</f>
        <v/>
      </c>
      <c r="E374">
        <f>IF(OR(A374="",C374=""),"",C374-D374)</f>
        <v/>
      </c>
    </row>
    <row r="375">
      <c r="D375">
        <f>IF(A375="","",SUMIFS(Contributions!E:E,Contributions!B:B,A375))</f>
        <v/>
      </c>
      <c r="E375">
        <f>IF(OR(A375="",C375=""),"",C375-D375)</f>
        <v/>
      </c>
    </row>
    <row r="376">
      <c r="D376">
        <f>IF(A376="","",SUMIFS(Contributions!E:E,Contributions!B:B,A376))</f>
        <v/>
      </c>
      <c r="E376">
        <f>IF(OR(A376="",C376=""),"",C376-D376)</f>
        <v/>
      </c>
    </row>
    <row r="377">
      <c r="D377">
        <f>IF(A377="","",SUMIFS(Contributions!E:E,Contributions!B:B,A377))</f>
        <v/>
      </c>
      <c r="E377">
        <f>IF(OR(A377="",C377=""),"",C377-D377)</f>
        <v/>
      </c>
    </row>
    <row r="378">
      <c r="D378">
        <f>IF(A378="","",SUMIFS(Contributions!E:E,Contributions!B:B,A378))</f>
        <v/>
      </c>
      <c r="E378">
        <f>IF(OR(A378="",C378=""),"",C378-D378)</f>
        <v/>
      </c>
    </row>
    <row r="379">
      <c r="D379">
        <f>IF(A379="","",SUMIFS(Contributions!E:E,Contributions!B:B,A379))</f>
        <v/>
      </c>
      <c r="E379">
        <f>IF(OR(A379="",C379=""),"",C379-D379)</f>
        <v/>
      </c>
    </row>
    <row r="380">
      <c r="D380">
        <f>IF(A380="","",SUMIFS(Contributions!E:E,Contributions!B:B,A380))</f>
        <v/>
      </c>
      <c r="E380">
        <f>IF(OR(A380="",C380=""),"",C380-D380)</f>
        <v/>
      </c>
    </row>
    <row r="381">
      <c r="D381">
        <f>IF(A381="","",SUMIFS(Contributions!E:E,Contributions!B:B,A381))</f>
        <v/>
      </c>
      <c r="E381">
        <f>IF(OR(A381="",C381=""),"",C381-D381)</f>
        <v/>
      </c>
    </row>
    <row r="382">
      <c r="D382">
        <f>IF(A382="","",SUMIFS(Contributions!E:E,Contributions!B:B,A382))</f>
        <v/>
      </c>
      <c r="E382">
        <f>IF(OR(A382="",C382=""),"",C382-D382)</f>
        <v/>
      </c>
    </row>
    <row r="383">
      <c r="D383">
        <f>IF(A383="","",SUMIFS(Contributions!E:E,Contributions!B:B,A383))</f>
        <v/>
      </c>
      <c r="E383">
        <f>IF(OR(A383="",C383=""),"",C383-D383)</f>
        <v/>
      </c>
    </row>
    <row r="384">
      <c r="D384">
        <f>IF(A384="","",SUMIFS(Contributions!E:E,Contributions!B:B,A384))</f>
        <v/>
      </c>
      <c r="E384">
        <f>IF(OR(A384="",C384=""),"",C384-D384)</f>
        <v/>
      </c>
    </row>
    <row r="385">
      <c r="D385">
        <f>IF(A385="","",SUMIFS(Contributions!E:E,Contributions!B:B,A385))</f>
        <v/>
      </c>
      <c r="E385">
        <f>IF(OR(A385="",C385=""),"",C385-D385)</f>
        <v/>
      </c>
    </row>
    <row r="386">
      <c r="D386">
        <f>IF(A386="","",SUMIFS(Contributions!E:E,Contributions!B:B,A386))</f>
        <v/>
      </c>
      <c r="E386">
        <f>IF(OR(A386="",C386=""),"",C386-D386)</f>
        <v/>
      </c>
    </row>
    <row r="387">
      <c r="D387">
        <f>IF(A387="","",SUMIFS(Contributions!E:E,Contributions!B:B,A387))</f>
        <v/>
      </c>
      <c r="E387">
        <f>IF(OR(A387="",C387=""),"",C387-D387)</f>
        <v/>
      </c>
    </row>
    <row r="388">
      <c r="D388">
        <f>IF(A388="","",SUMIFS(Contributions!E:E,Contributions!B:B,A388))</f>
        <v/>
      </c>
      <c r="E388">
        <f>IF(OR(A388="",C388=""),"",C388-D388)</f>
        <v/>
      </c>
    </row>
    <row r="389">
      <c r="D389">
        <f>IF(A389="","",SUMIFS(Contributions!E:E,Contributions!B:B,A389))</f>
        <v/>
      </c>
      <c r="E389">
        <f>IF(OR(A389="",C389=""),"",C389-D389)</f>
        <v/>
      </c>
    </row>
    <row r="390">
      <c r="D390">
        <f>IF(A390="","",SUMIFS(Contributions!E:E,Contributions!B:B,A390))</f>
        <v/>
      </c>
      <c r="E390">
        <f>IF(OR(A390="",C390=""),"",C390-D390)</f>
        <v/>
      </c>
    </row>
    <row r="391">
      <c r="D391">
        <f>IF(A391="","",SUMIFS(Contributions!E:E,Contributions!B:B,A391))</f>
        <v/>
      </c>
      <c r="E391">
        <f>IF(OR(A391="",C391=""),"",C391-D391)</f>
        <v/>
      </c>
    </row>
    <row r="392">
      <c r="D392">
        <f>IF(A392="","",SUMIFS(Contributions!E:E,Contributions!B:B,A392))</f>
        <v/>
      </c>
      <c r="E392">
        <f>IF(OR(A392="",C392=""),"",C392-D392)</f>
        <v/>
      </c>
    </row>
    <row r="393">
      <c r="D393">
        <f>IF(A393="","",SUMIFS(Contributions!E:E,Contributions!B:B,A393))</f>
        <v/>
      </c>
      <c r="E393">
        <f>IF(OR(A393="",C393=""),"",C393-D393)</f>
        <v/>
      </c>
    </row>
    <row r="394">
      <c r="D394">
        <f>IF(A394="","",SUMIFS(Contributions!E:E,Contributions!B:B,A394))</f>
        <v/>
      </c>
      <c r="E394">
        <f>IF(OR(A394="",C394=""),"",C394-D394)</f>
        <v/>
      </c>
    </row>
    <row r="395">
      <c r="D395">
        <f>IF(A395="","",SUMIFS(Contributions!E:E,Contributions!B:B,A395))</f>
        <v/>
      </c>
      <c r="E395">
        <f>IF(OR(A395="",C395=""),"",C395-D395)</f>
        <v/>
      </c>
    </row>
    <row r="396">
      <c r="D396">
        <f>IF(A396="","",SUMIFS(Contributions!E:E,Contributions!B:B,A396))</f>
        <v/>
      </c>
      <c r="E396">
        <f>IF(OR(A396="",C396=""),"",C396-D396)</f>
        <v/>
      </c>
    </row>
    <row r="397">
      <c r="D397">
        <f>IF(A397="","",SUMIFS(Contributions!E:E,Contributions!B:B,A397))</f>
        <v/>
      </c>
      <c r="E397">
        <f>IF(OR(A397="",C397=""),"",C397-D397)</f>
        <v/>
      </c>
    </row>
    <row r="398">
      <c r="D398">
        <f>IF(A398="","",SUMIFS(Contributions!E:E,Contributions!B:B,A398))</f>
        <v/>
      </c>
      <c r="E398">
        <f>IF(OR(A398="",C398=""),"",C398-D398)</f>
        <v/>
      </c>
    </row>
    <row r="399">
      <c r="D399">
        <f>IF(A399="","",SUMIFS(Contributions!E:E,Contributions!B:B,A399))</f>
        <v/>
      </c>
      <c r="E399">
        <f>IF(OR(A399="",C399=""),"",C399-D399)</f>
        <v/>
      </c>
    </row>
    <row r="400">
      <c r="D400">
        <f>IF(A400="","",SUMIFS(Contributions!E:E,Contributions!B:B,A400))</f>
        <v/>
      </c>
      <c r="E400">
        <f>IF(OR(A400="",C400=""),"",C400-D400)</f>
        <v/>
      </c>
    </row>
    <row r="401">
      <c r="D401">
        <f>IF(A401="","",SUMIFS(Contributions!E:E,Contributions!B:B,A401))</f>
        <v/>
      </c>
      <c r="E401">
        <f>IF(OR(A401="",C401=""),"",C401-D401)</f>
        <v/>
      </c>
    </row>
    <row r="402">
      <c r="D402">
        <f>IF(A402="","",SUMIFS(Contributions!E:E,Contributions!B:B,A402))</f>
        <v/>
      </c>
      <c r="E402">
        <f>IF(OR(A402="",C402=""),"",C402-D402)</f>
        <v/>
      </c>
    </row>
    <row r="403">
      <c r="D403">
        <f>IF(A403="","",SUMIFS(Contributions!E:E,Contributions!B:B,A403))</f>
        <v/>
      </c>
      <c r="E403">
        <f>IF(OR(A403="",C403=""),"",C403-D403)</f>
        <v/>
      </c>
    </row>
    <row r="404">
      <c r="D404">
        <f>IF(A404="","",SUMIFS(Contributions!E:E,Contributions!B:B,A404))</f>
        <v/>
      </c>
      <c r="E404">
        <f>IF(OR(A404="",C404=""),"",C404-D404)</f>
        <v/>
      </c>
    </row>
    <row r="405">
      <c r="D405">
        <f>IF(A405="","",SUMIFS(Contributions!E:E,Contributions!B:B,A405))</f>
        <v/>
      </c>
      <c r="E405">
        <f>IF(OR(A405="",C405=""),"",C405-D405)</f>
        <v/>
      </c>
    </row>
    <row r="406">
      <c r="D406">
        <f>IF(A406="","",SUMIFS(Contributions!E:E,Contributions!B:B,A406))</f>
        <v/>
      </c>
      <c r="E406">
        <f>IF(OR(A406="",C406=""),"",C406-D406)</f>
        <v/>
      </c>
    </row>
    <row r="407">
      <c r="D407">
        <f>IF(A407="","",SUMIFS(Contributions!E:E,Contributions!B:B,A407))</f>
        <v/>
      </c>
      <c r="E407">
        <f>IF(OR(A407="",C407=""),"",C407-D407)</f>
        <v/>
      </c>
    </row>
    <row r="408">
      <c r="D408">
        <f>IF(A408="","",SUMIFS(Contributions!E:E,Contributions!B:B,A408))</f>
        <v/>
      </c>
      <c r="E408">
        <f>IF(OR(A408="",C408=""),"",C408-D408)</f>
        <v/>
      </c>
    </row>
    <row r="409">
      <c r="D409">
        <f>IF(A409="","",SUMIFS(Contributions!E:E,Contributions!B:B,A409))</f>
        <v/>
      </c>
      <c r="E409">
        <f>IF(OR(A409="",C409=""),"",C409-D409)</f>
        <v/>
      </c>
    </row>
    <row r="410">
      <c r="D410">
        <f>IF(A410="","",SUMIFS(Contributions!E:E,Contributions!B:B,A410))</f>
        <v/>
      </c>
      <c r="E410">
        <f>IF(OR(A410="",C410=""),"",C410-D410)</f>
        <v/>
      </c>
    </row>
    <row r="411">
      <c r="D411">
        <f>IF(A411="","",SUMIFS(Contributions!E:E,Contributions!B:B,A411))</f>
        <v/>
      </c>
      <c r="E411">
        <f>IF(OR(A411="",C411=""),"",C411-D411)</f>
        <v/>
      </c>
    </row>
    <row r="412">
      <c r="D412">
        <f>IF(A412="","",SUMIFS(Contributions!E:E,Contributions!B:B,A412))</f>
        <v/>
      </c>
      <c r="E412">
        <f>IF(OR(A412="",C412=""),"",C412-D412)</f>
        <v/>
      </c>
    </row>
    <row r="413">
      <c r="D413">
        <f>IF(A413="","",SUMIFS(Contributions!E:E,Contributions!B:B,A413))</f>
        <v/>
      </c>
      <c r="E413">
        <f>IF(OR(A413="",C413=""),"",C413-D413)</f>
        <v/>
      </c>
    </row>
    <row r="414">
      <c r="D414">
        <f>IF(A414="","",SUMIFS(Contributions!E:E,Contributions!B:B,A414))</f>
        <v/>
      </c>
      <c r="E414">
        <f>IF(OR(A414="",C414=""),"",C414-D414)</f>
        <v/>
      </c>
    </row>
    <row r="415">
      <c r="D415">
        <f>IF(A415="","",SUMIFS(Contributions!E:E,Contributions!B:B,A415))</f>
        <v/>
      </c>
      <c r="E415">
        <f>IF(OR(A415="",C415=""),"",C415-D415)</f>
        <v/>
      </c>
    </row>
    <row r="416">
      <c r="D416">
        <f>IF(A416="","",SUMIFS(Contributions!E:E,Contributions!B:B,A416))</f>
        <v/>
      </c>
      <c r="E416">
        <f>IF(OR(A416="",C416=""),"",C416-D416)</f>
        <v/>
      </c>
    </row>
    <row r="417">
      <c r="D417">
        <f>IF(A417="","",SUMIFS(Contributions!E:E,Contributions!B:B,A417))</f>
        <v/>
      </c>
      <c r="E417">
        <f>IF(OR(A417="",C417=""),"",C417-D417)</f>
        <v/>
      </c>
    </row>
    <row r="418">
      <c r="D418">
        <f>IF(A418="","",SUMIFS(Contributions!E:E,Contributions!B:B,A418))</f>
        <v/>
      </c>
      <c r="E418">
        <f>IF(OR(A418="",C418=""),"",C418-D418)</f>
        <v/>
      </c>
    </row>
    <row r="419">
      <c r="D419">
        <f>IF(A419="","",SUMIFS(Contributions!E:E,Contributions!B:B,A419))</f>
        <v/>
      </c>
      <c r="E419">
        <f>IF(OR(A419="",C419=""),"",C419-D419)</f>
        <v/>
      </c>
    </row>
    <row r="420">
      <c r="D420">
        <f>IF(A420="","",SUMIFS(Contributions!E:E,Contributions!B:B,A420))</f>
        <v/>
      </c>
      <c r="E420">
        <f>IF(OR(A420="",C420=""),"",C420-D420)</f>
        <v/>
      </c>
    </row>
    <row r="421">
      <c r="D421">
        <f>IF(A421="","",SUMIFS(Contributions!E:E,Contributions!B:B,A421))</f>
        <v/>
      </c>
      <c r="E421">
        <f>IF(OR(A421="",C421=""),"",C421-D421)</f>
        <v/>
      </c>
    </row>
    <row r="422">
      <c r="D422">
        <f>IF(A422="","",SUMIFS(Contributions!E:E,Contributions!B:B,A422))</f>
        <v/>
      </c>
      <c r="E422">
        <f>IF(OR(A422="",C422=""),"",C422-D422)</f>
        <v/>
      </c>
    </row>
    <row r="423">
      <c r="D423">
        <f>IF(A423="","",SUMIFS(Contributions!E:E,Contributions!B:B,A423))</f>
        <v/>
      </c>
      <c r="E423">
        <f>IF(OR(A423="",C423=""),"",C423-D423)</f>
        <v/>
      </c>
    </row>
    <row r="424">
      <c r="D424">
        <f>IF(A424="","",SUMIFS(Contributions!E:E,Contributions!B:B,A424))</f>
        <v/>
      </c>
      <c r="E424">
        <f>IF(OR(A424="",C424=""),"",C424-D424)</f>
        <v/>
      </c>
    </row>
    <row r="425">
      <c r="D425">
        <f>IF(A425="","",SUMIFS(Contributions!E:E,Contributions!B:B,A425))</f>
        <v/>
      </c>
      <c r="E425">
        <f>IF(OR(A425="",C425=""),"",C425-D425)</f>
        <v/>
      </c>
    </row>
    <row r="426">
      <c r="D426">
        <f>IF(A426="","",SUMIFS(Contributions!E:E,Contributions!B:B,A426))</f>
        <v/>
      </c>
      <c r="E426">
        <f>IF(OR(A426="",C426=""),"",C426-D426)</f>
        <v/>
      </c>
    </row>
    <row r="427">
      <c r="D427">
        <f>IF(A427="","",SUMIFS(Contributions!E:E,Contributions!B:B,A427))</f>
        <v/>
      </c>
      <c r="E427">
        <f>IF(OR(A427="",C427=""),"",C427-D427)</f>
        <v/>
      </c>
    </row>
    <row r="428">
      <c r="D428">
        <f>IF(A428="","",SUMIFS(Contributions!E:E,Contributions!B:B,A428))</f>
        <v/>
      </c>
      <c r="E428">
        <f>IF(OR(A428="",C428=""),"",C428-D428)</f>
        <v/>
      </c>
    </row>
    <row r="429">
      <c r="D429">
        <f>IF(A429="","",SUMIFS(Contributions!E:E,Contributions!B:B,A429))</f>
        <v/>
      </c>
      <c r="E429">
        <f>IF(OR(A429="",C429=""),"",C429-D429)</f>
        <v/>
      </c>
    </row>
    <row r="430">
      <c r="D430">
        <f>IF(A430="","",SUMIFS(Contributions!E:E,Contributions!B:B,A430))</f>
        <v/>
      </c>
      <c r="E430">
        <f>IF(OR(A430="",C430=""),"",C430-D430)</f>
        <v/>
      </c>
    </row>
    <row r="431">
      <c r="D431">
        <f>IF(A431="","",SUMIFS(Contributions!E:E,Contributions!B:B,A431))</f>
        <v/>
      </c>
      <c r="E431">
        <f>IF(OR(A431="",C431=""),"",C431-D431)</f>
        <v/>
      </c>
    </row>
    <row r="432">
      <c r="D432">
        <f>IF(A432="","",SUMIFS(Contributions!E:E,Contributions!B:B,A432))</f>
        <v/>
      </c>
      <c r="E432">
        <f>IF(OR(A432="",C432=""),"",C432-D432)</f>
        <v/>
      </c>
    </row>
    <row r="433">
      <c r="D433">
        <f>IF(A433="","",SUMIFS(Contributions!E:E,Contributions!B:B,A433))</f>
        <v/>
      </c>
      <c r="E433">
        <f>IF(OR(A433="",C433=""),"",C433-D433)</f>
        <v/>
      </c>
    </row>
    <row r="434">
      <c r="D434">
        <f>IF(A434="","",SUMIFS(Contributions!E:E,Contributions!B:B,A434))</f>
        <v/>
      </c>
      <c r="E434">
        <f>IF(OR(A434="",C434=""),"",C434-D434)</f>
        <v/>
      </c>
    </row>
    <row r="435">
      <c r="D435">
        <f>IF(A435="","",SUMIFS(Contributions!E:E,Contributions!B:B,A435))</f>
        <v/>
      </c>
      <c r="E435">
        <f>IF(OR(A435="",C435=""),"",C435-D435)</f>
        <v/>
      </c>
    </row>
    <row r="436">
      <c r="D436">
        <f>IF(A436="","",SUMIFS(Contributions!E:E,Contributions!B:B,A436))</f>
        <v/>
      </c>
      <c r="E436">
        <f>IF(OR(A436="",C436=""),"",C436-D436)</f>
        <v/>
      </c>
    </row>
    <row r="437">
      <c r="D437">
        <f>IF(A437="","",SUMIFS(Contributions!E:E,Contributions!B:B,A437))</f>
        <v/>
      </c>
      <c r="E437">
        <f>IF(OR(A437="",C437=""),"",C437-D437)</f>
        <v/>
      </c>
    </row>
    <row r="438">
      <c r="D438">
        <f>IF(A438="","",SUMIFS(Contributions!E:E,Contributions!B:B,A438))</f>
        <v/>
      </c>
      <c r="E438">
        <f>IF(OR(A438="",C438=""),"",C438-D438)</f>
        <v/>
      </c>
    </row>
    <row r="439">
      <c r="D439">
        <f>IF(A439="","",SUMIFS(Contributions!E:E,Contributions!B:B,A439))</f>
        <v/>
      </c>
      <c r="E439">
        <f>IF(OR(A439="",C439=""),"",C439-D439)</f>
        <v/>
      </c>
    </row>
    <row r="440">
      <c r="D440">
        <f>IF(A440="","",SUMIFS(Contributions!E:E,Contributions!B:B,A440))</f>
        <v/>
      </c>
      <c r="E440">
        <f>IF(OR(A440="",C440=""),"",C440-D440)</f>
        <v/>
      </c>
    </row>
    <row r="441">
      <c r="D441">
        <f>IF(A441="","",SUMIFS(Contributions!E:E,Contributions!B:B,A441))</f>
        <v/>
      </c>
      <c r="E441">
        <f>IF(OR(A441="",C441=""),"",C441-D441)</f>
        <v/>
      </c>
    </row>
    <row r="442">
      <c r="D442">
        <f>IF(A442="","",SUMIFS(Contributions!E:E,Contributions!B:B,A442))</f>
        <v/>
      </c>
      <c r="E442">
        <f>IF(OR(A442="",C442=""),"",C442-D442)</f>
        <v/>
      </c>
    </row>
    <row r="443">
      <c r="D443">
        <f>IF(A443="","",SUMIFS(Contributions!E:E,Contributions!B:B,A443))</f>
        <v/>
      </c>
      <c r="E443">
        <f>IF(OR(A443="",C443=""),"",C443-D443)</f>
        <v/>
      </c>
    </row>
    <row r="444">
      <c r="D444">
        <f>IF(A444="","",SUMIFS(Contributions!E:E,Contributions!B:B,A444))</f>
        <v/>
      </c>
      <c r="E444">
        <f>IF(OR(A444="",C444=""),"",C444-D444)</f>
        <v/>
      </c>
    </row>
    <row r="445">
      <c r="D445">
        <f>IF(A445="","",SUMIFS(Contributions!E:E,Contributions!B:B,A445))</f>
        <v/>
      </c>
      <c r="E445">
        <f>IF(OR(A445="",C445=""),"",C445-D445)</f>
        <v/>
      </c>
    </row>
    <row r="446">
      <c r="D446">
        <f>IF(A446="","",SUMIFS(Contributions!E:E,Contributions!B:B,A446))</f>
        <v/>
      </c>
      <c r="E446">
        <f>IF(OR(A446="",C446=""),"",C446-D446)</f>
        <v/>
      </c>
    </row>
    <row r="447">
      <c r="D447">
        <f>IF(A447="","",SUMIFS(Contributions!E:E,Contributions!B:B,A447))</f>
        <v/>
      </c>
      <c r="E447">
        <f>IF(OR(A447="",C447=""),"",C447-D447)</f>
        <v/>
      </c>
    </row>
    <row r="448">
      <c r="D448">
        <f>IF(A448="","",SUMIFS(Contributions!E:E,Contributions!B:B,A448))</f>
        <v/>
      </c>
      <c r="E448">
        <f>IF(OR(A448="",C448=""),"",C448-D448)</f>
        <v/>
      </c>
    </row>
    <row r="449">
      <c r="D449">
        <f>IF(A449="","",SUMIFS(Contributions!E:E,Contributions!B:B,A449))</f>
        <v/>
      </c>
      <c r="E449">
        <f>IF(OR(A449="",C449=""),"",C449-D449)</f>
        <v/>
      </c>
    </row>
    <row r="450">
      <c r="D450">
        <f>IF(A450="","",SUMIFS(Contributions!E:E,Contributions!B:B,A450))</f>
        <v/>
      </c>
      <c r="E450">
        <f>IF(OR(A450="",C450=""),"",C450-D450)</f>
        <v/>
      </c>
    </row>
    <row r="451">
      <c r="D451">
        <f>IF(A451="","",SUMIFS(Contributions!E:E,Contributions!B:B,A451))</f>
        <v/>
      </c>
      <c r="E451">
        <f>IF(OR(A451="",C451=""),"",C451-D451)</f>
        <v/>
      </c>
    </row>
    <row r="452">
      <c r="D452">
        <f>IF(A452="","",SUMIFS(Contributions!E:E,Contributions!B:B,A452))</f>
        <v/>
      </c>
      <c r="E452">
        <f>IF(OR(A452="",C452=""),"",C452-D452)</f>
        <v/>
      </c>
    </row>
    <row r="453">
      <c r="D453">
        <f>IF(A453="","",SUMIFS(Contributions!E:E,Contributions!B:B,A453))</f>
        <v/>
      </c>
      <c r="E453">
        <f>IF(OR(A453="",C453=""),"",C453-D453)</f>
        <v/>
      </c>
    </row>
    <row r="454">
      <c r="D454">
        <f>IF(A454="","",SUMIFS(Contributions!E:E,Contributions!B:B,A454))</f>
        <v/>
      </c>
      <c r="E454">
        <f>IF(OR(A454="",C454=""),"",C454-D454)</f>
        <v/>
      </c>
    </row>
    <row r="455">
      <c r="D455">
        <f>IF(A455="","",SUMIFS(Contributions!E:E,Contributions!B:B,A455))</f>
        <v/>
      </c>
      <c r="E455">
        <f>IF(OR(A455="",C455=""),"",C455-D455)</f>
        <v/>
      </c>
    </row>
    <row r="456">
      <c r="D456">
        <f>IF(A456="","",SUMIFS(Contributions!E:E,Contributions!B:B,A456))</f>
        <v/>
      </c>
      <c r="E456">
        <f>IF(OR(A456="",C456=""),"",C456-D456)</f>
        <v/>
      </c>
    </row>
    <row r="457">
      <c r="D457">
        <f>IF(A457="","",SUMIFS(Contributions!E:E,Contributions!B:B,A457))</f>
        <v/>
      </c>
      <c r="E457">
        <f>IF(OR(A457="",C457=""),"",C457-D457)</f>
        <v/>
      </c>
    </row>
    <row r="458">
      <c r="D458">
        <f>IF(A458="","",SUMIFS(Contributions!E:E,Contributions!B:B,A458))</f>
        <v/>
      </c>
      <c r="E458">
        <f>IF(OR(A458="",C458=""),"",C458-D458)</f>
        <v/>
      </c>
    </row>
    <row r="459">
      <c r="D459">
        <f>IF(A459="","",SUMIFS(Contributions!E:E,Contributions!B:B,A459))</f>
        <v/>
      </c>
      <c r="E459">
        <f>IF(OR(A459="",C459=""),"",C459-D459)</f>
        <v/>
      </c>
    </row>
    <row r="460">
      <c r="D460">
        <f>IF(A460="","",SUMIFS(Contributions!E:E,Contributions!B:B,A460))</f>
        <v/>
      </c>
      <c r="E460">
        <f>IF(OR(A460="",C460=""),"",C460-D460)</f>
        <v/>
      </c>
    </row>
    <row r="461">
      <c r="D461">
        <f>IF(A461="","",SUMIFS(Contributions!E:E,Contributions!B:B,A461))</f>
        <v/>
      </c>
      <c r="E461">
        <f>IF(OR(A461="",C461=""),"",C461-D461)</f>
        <v/>
      </c>
    </row>
    <row r="462">
      <c r="D462">
        <f>IF(A462="","",SUMIFS(Contributions!E:E,Contributions!B:B,A462))</f>
        <v/>
      </c>
      <c r="E462">
        <f>IF(OR(A462="",C462=""),"",C462-D462)</f>
        <v/>
      </c>
    </row>
    <row r="463">
      <c r="D463">
        <f>IF(A463="","",SUMIFS(Contributions!E:E,Contributions!B:B,A463))</f>
        <v/>
      </c>
      <c r="E463">
        <f>IF(OR(A463="",C463=""),"",C463-D463)</f>
        <v/>
      </c>
    </row>
    <row r="464">
      <c r="D464">
        <f>IF(A464="","",SUMIFS(Contributions!E:E,Contributions!B:B,A464))</f>
        <v/>
      </c>
      <c r="E464">
        <f>IF(OR(A464="",C464=""),"",C464-D464)</f>
        <v/>
      </c>
    </row>
    <row r="465">
      <c r="D465">
        <f>IF(A465="","",SUMIFS(Contributions!E:E,Contributions!B:B,A465))</f>
        <v/>
      </c>
      <c r="E465">
        <f>IF(OR(A465="",C465=""),"",C465-D465)</f>
        <v/>
      </c>
    </row>
    <row r="466">
      <c r="D466">
        <f>IF(A466="","",SUMIFS(Contributions!E:E,Contributions!B:B,A466))</f>
        <v/>
      </c>
      <c r="E466">
        <f>IF(OR(A466="",C466=""),"",C466-D466)</f>
        <v/>
      </c>
    </row>
    <row r="467">
      <c r="D467">
        <f>IF(A467="","",SUMIFS(Contributions!E:E,Contributions!B:B,A467))</f>
        <v/>
      </c>
      <c r="E467">
        <f>IF(OR(A467="",C467=""),"",C467-D467)</f>
        <v/>
      </c>
    </row>
    <row r="468">
      <c r="D468">
        <f>IF(A468="","",SUMIFS(Contributions!E:E,Contributions!B:B,A468))</f>
        <v/>
      </c>
      <c r="E468">
        <f>IF(OR(A468="",C468=""),"",C468-D468)</f>
        <v/>
      </c>
    </row>
    <row r="469">
      <c r="D469">
        <f>IF(A469="","",SUMIFS(Contributions!E:E,Contributions!B:B,A469))</f>
        <v/>
      </c>
      <c r="E469">
        <f>IF(OR(A469="",C469=""),"",C469-D469)</f>
        <v/>
      </c>
    </row>
    <row r="470">
      <c r="D470">
        <f>IF(A470="","",SUMIFS(Contributions!E:E,Contributions!B:B,A470))</f>
        <v/>
      </c>
      <c r="E470">
        <f>IF(OR(A470="",C470=""),"",C470-D470)</f>
        <v/>
      </c>
    </row>
    <row r="471">
      <c r="D471">
        <f>IF(A471="","",SUMIFS(Contributions!E:E,Contributions!B:B,A471))</f>
        <v/>
      </c>
      <c r="E471">
        <f>IF(OR(A471="",C471=""),"",C471-D471)</f>
        <v/>
      </c>
    </row>
    <row r="472">
      <c r="D472">
        <f>IF(A472="","",SUMIFS(Contributions!E:E,Contributions!B:B,A472))</f>
        <v/>
      </c>
      <c r="E472">
        <f>IF(OR(A472="",C472=""),"",C472-D472)</f>
        <v/>
      </c>
    </row>
    <row r="473">
      <c r="D473">
        <f>IF(A473="","",SUMIFS(Contributions!E:E,Contributions!B:B,A473))</f>
        <v/>
      </c>
      <c r="E473">
        <f>IF(OR(A473="",C473=""),"",C473-D473)</f>
        <v/>
      </c>
    </row>
    <row r="474">
      <c r="D474">
        <f>IF(A474="","",SUMIFS(Contributions!E:E,Contributions!B:B,A474))</f>
        <v/>
      </c>
      <c r="E474">
        <f>IF(OR(A474="",C474=""),"",C474-D474)</f>
        <v/>
      </c>
    </row>
    <row r="475">
      <c r="D475">
        <f>IF(A475="","",SUMIFS(Contributions!E:E,Contributions!B:B,A475))</f>
        <v/>
      </c>
      <c r="E475">
        <f>IF(OR(A475="",C475=""),"",C475-D475)</f>
        <v/>
      </c>
    </row>
    <row r="476">
      <c r="D476">
        <f>IF(A476="","",SUMIFS(Contributions!E:E,Contributions!B:B,A476))</f>
        <v/>
      </c>
      <c r="E476">
        <f>IF(OR(A476="",C476=""),"",C476-D476)</f>
        <v/>
      </c>
    </row>
    <row r="477">
      <c r="D477">
        <f>IF(A477="","",SUMIFS(Contributions!E:E,Contributions!B:B,A477))</f>
        <v/>
      </c>
      <c r="E477">
        <f>IF(OR(A477="",C477=""),"",C477-D477)</f>
        <v/>
      </c>
    </row>
    <row r="478">
      <c r="D478">
        <f>IF(A478="","",SUMIFS(Contributions!E:E,Contributions!B:B,A478))</f>
        <v/>
      </c>
      <c r="E478">
        <f>IF(OR(A478="",C478=""),"",C478-D478)</f>
        <v/>
      </c>
    </row>
    <row r="479">
      <c r="D479">
        <f>IF(A479="","",SUMIFS(Contributions!E:E,Contributions!B:B,A479))</f>
        <v/>
      </c>
      <c r="E479">
        <f>IF(OR(A479="",C479=""),"",C479-D479)</f>
        <v/>
      </c>
    </row>
    <row r="480">
      <c r="D480">
        <f>IF(A480="","",SUMIFS(Contributions!E:E,Contributions!B:B,A480))</f>
        <v/>
      </c>
      <c r="E480">
        <f>IF(OR(A480="",C480=""),"",C480-D480)</f>
        <v/>
      </c>
    </row>
    <row r="481">
      <c r="D481">
        <f>IF(A481="","",SUMIFS(Contributions!E:E,Contributions!B:B,A481))</f>
        <v/>
      </c>
      <c r="E481">
        <f>IF(OR(A481="",C481=""),"",C481-D481)</f>
        <v/>
      </c>
    </row>
    <row r="482">
      <c r="D482">
        <f>IF(A482="","",SUMIFS(Contributions!E:E,Contributions!B:B,A482))</f>
        <v/>
      </c>
      <c r="E482">
        <f>IF(OR(A482="",C482=""),"",C482-D482)</f>
        <v/>
      </c>
    </row>
    <row r="483">
      <c r="D483">
        <f>IF(A483="","",SUMIFS(Contributions!E:E,Contributions!B:B,A483))</f>
        <v/>
      </c>
      <c r="E483">
        <f>IF(OR(A483="",C483=""),"",C483-D483)</f>
        <v/>
      </c>
    </row>
    <row r="484">
      <c r="D484">
        <f>IF(A484="","",SUMIFS(Contributions!E:E,Contributions!B:B,A484))</f>
        <v/>
      </c>
      <c r="E484">
        <f>IF(OR(A484="",C484=""),"",C484-D484)</f>
        <v/>
      </c>
    </row>
    <row r="485">
      <c r="D485">
        <f>IF(A485="","",SUMIFS(Contributions!E:E,Contributions!B:B,A485))</f>
        <v/>
      </c>
      <c r="E485">
        <f>IF(OR(A485="",C485=""),"",C485-D485)</f>
        <v/>
      </c>
    </row>
    <row r="486">
      <c r="D486">
        <f>IF(A486="","",SUMIFS(Contributions!E:E,Contributions!B:B,A486))</f>
        <v/>
      </c>
      <c r="E486">
        <f>IF(OR(A486="",C486=""),"",C486-D486)</f>
        <v/>
      </c>
    </row>
    <row r="487">
      <c r="D487">
        <f>IF(A487="","",SUMIFS(Contributions!E:E,Contributions!B:B,A487))</f>
        <v/>
      </c>
      <c r="E487">
        <f>IF(OR(A487="",C487=""),"",C487-D487)</f>
        <v/>
      </c>
    </row>
    <row r="488">
      <c r="D488">
        <f>IF(A488="","",SUMIFS(Contributions!E:E,Contributions!B:B,A488))</f>
        <v/>
      </c>
      <c r="E488">
        <f>IF(OR(A488="",C488=""),"",C488-D488)</f>
        <v/>
      </c>
    </row>
    <row r="489">
      <c r="D489">
        <f>IF(A489="","",SUMIFS(Contributions!E:E,Contributions!B:B,A489))</f>
        <v/>
      </c>
      <c r="E489">
        <f>IF(OR(A489="",C489=""),"",C489-D489)</f>
        <v/>
      </c>
    </row>
    <row r="490">
      <c r="D490">
        <f>IF(A490="","",SUMIFS(Contributions!E:E,Contributions!B:B,A490))</f>
        <v/>
      </c>
      <c r="E490">
        <f>IF(OR(A490="",C490=""),"",C490-D490)</f>
        <v/>
      </c>
    </row>
    <row r="491">
      <c r="D491">
        <f>IF(A491="","",SUMIFS(Contributions!E:E,Contributions!B:B,A491))</f>
        <v/>
      </c>
      <c r="E491">
        <f>IF(OR(A491="",C491=""),"",C491-D491)</f>
        <v/>
      </c>
    </row>
    <row r="492">
      <c r="D492">
        <f>IF(A492="","",SUMIFS(Contributions!E:E,Contributions!B:B,A492))</f>
        <v/>
      </c>
      <c r="E492">
        <f>IF(OR(A492="",C492=""),"",C492-D492)</f>
        <v/>
      </c>
    </row>
    <row r="493">
      <c r="D493">
        <f>IF(A493="","",SUMIFS(Contributions!E:E,Contributions!B:B,A493))</f>
        <v/>
      </c>
      <c r="E493">
        <f>IF(OR(A493="",C493=""),"",C493-D493)</f>
        <v/>
      </c>
    </row>
    <row r="494">
      <c r="D494">
        <f>IF(A494="","",SUMIFS(Contributions!E:E,Contributions!B:B,A494))</f>
        <v/>
      </c>
      <c r="E494">
        <f>IF(OR(A494="",C494=""),"",C494-D494)</f>
        <v/>
      </c>
    </row>
    <row r="495">
      <c r="D495">
        <f>IF(A495="","",SUMIFS(Contributions!E:E,Contributions!B:B,A495))</f>
        <v/>
      </c>
      <c r="E495">
        <f>IF(OR(A495="",C495=""),"",C495-D495)</f>
        <v/>
      </c>
    </row>
    <row r="496">
      <c r="D496">
        <f>IF(A496="","",SUMIFS(Contributions!E:E,Contributions!B:B,A496))</f>
        <v/>
      </c>
      <c r="E496">
        <f>IF(OR(A496="",C496=""),"",C496-D496)</f>
        <v/>
      </c>
    </row>
    <row r="497">
      <c r="D497">
        <f>IF(A497="","",SUMIFS(Contributions!E:E,Contributions!B:B,A497))</f>
        <v/>
      </c>
      <c r="E497">
        <f>IF(OR(A497="",C497=""),"",C497-D497)</f>
        <v/>
      </c>
    </row>
    <row r="498">
      <c r="D498">
        <f>IF(A498="","",SUMIFS(Contributions!E:E,Contributions!B:B,A498))</f>
        <v/>
      </c>
      <c r="E498">
        <f>IF(OR(A498="",C498=""),"",C498-D498)</f>
        <v/>
      </c>
    </row>
    <row r="499">
      <c r="D499">
        <f>IF(A499="","",SUMIFS(Contributions!E:E,Contributions!B:B,A499))</f>
        <v/>
      </c>
      <c r="E499">
        <f>IF(OR(A499="",C499=""),"",C499-D499)</f>
        <v/>
      </c>
    </row>
    <row r="500">
      <c r="D500">
        <f>IF(A500="","",SUMIFS(Contributions!E:E,Contributions!B:B,A500))</f>
        <v/>
      </c>
      <c r="E500">
        <f>IF(OR(A500="",C500=""),"",C500-D500)</f>
        <v/>
      </c>
    </row>
    <row r="501">
      <c r="D501">
        <f>IF(A501="","",SUMIFS(Contributions!E:E,Contributions!B:B,A501))</f>
        <v/>
      </c>
      <c r="E501">
        <f>IF(OR(A501="",C501=""),"",C501-D501)</f>
        <v/>
      </c>
    </row>
    <row r="502">
      <c r="D502">
        <f>IF(A502="","",SUMIFS(Contributions!E:E,Contributions!B:B,A502))</f>
        <v/>
      </c>
      <c r="E502">
        <f>IF(OR(A502="",C502=""),"",C502-D502)</f>
        <v/>
      </c>
    </row>
    <row r="503">
      <c r="D503">
        <f>IF(A503="","",SUMIFS(Contributions!E:E,Contributions!B:B,A503))</f>
        <v/>
      </c>
      <c r="E503">
        <f>IF(OR(A503="",C503=""),"",C503-D503)</f>
        <v/>
      </c>
    </row>
    <row r="504">
      <c r="D504">
        <f>IF(A504="","",SUMIFS(Contributions!E:E,Contributions!B:B,A504))</f>
        <v/>
      </c>
      <c r="E504">
        <f>IF(OR(A504="",C504=""),"",C504-D504)</f>
        <v/>
      </c>
    </row>
    <row r="505">
      <c r="D505">
        <f>IF(A505="","",SUMIFS(Contributions!E:E,Contributions!B:B,A505))</f>
        <v/>
      </c>
      <c r="E505">
        <f>IF(OR(A505="",C505=""),"",C505-D505)</f>
        <v/>
      </c>
    </row>
    <row r="506">
      <c r="D506">
        <f>IF(A506="","",SUMIFS(Contributions!E:E,Contributions!B:B,A506))</f>
        <v/>
      </c>
      <c r="E506">
        <f>IF(OR(A506="",C506=""),"",C506-D506)</f>
        <v/>
      </c>
    </row>
    <row r="507">
      <c r="D507">
        <f>IF(A507="","",SUMIFS(Contributions!E:E,Contributions!B:B,A507))</f>
        <v/>
      </c>
      <c r="E507">
        <f>IF(OR(A507="",C507=""),"",C507-D507)</f>
        <v/>
      </c>
    </row>
    <row r="508">
      <c r="D508">
        <f>IF(A508="","",SUMIFS(Contributions!E:E,Contributions!B:B,A508))</f>
        <v/>
      </c>
      <c r="E508">
        <f>IF(OR(A508="",C508=""),"",C508-D508)</f>
        <v/>
      </c>
    </row>
    <row r="509">
      <c r="D509">
        <f>IF(A509="","",SUMIFS(Contributions!E:E,Contributions!B:B,A509))</f>
        <v/>
      </c>
      <c r="E509">
        <f>IF(OR(A509="",C509=""),"",C509-D509)</f>
        <v/>
      </c>
    </row>
    <row r="510">
      <c r="D510">
        <f>IF(A510="","",SUMIFS(Contributions!E:E,Contributions!B:B,A510))</f>
        <v/>
      </c>
      <c r="E510">
        <f>IF(OR(A510="",C510=""),"",C510-D510)</f>
        <v/>
      </c>
    </row>
    <row r="511">
      <c r="D511">
        <f>IF(A511="","",SUMIFS(Contributions!E:E,Contributions!B:B,A511))</f>
        <v/>
      </c>
      <c r="E511">
        <f>IF(OR(A511="",C511=""),"",C511-D511)</f>
        <v/>
      </c>
    </row>
    <row r="512">
      <c r="D512">
        <f>IF(A512="","",SUMIFS(Contributions!E:E,Contributions!B:B,A512))</f>
        <v/>
      </c>
      <c r="E512">
        <f>IF(OR(A512="",C512=""),"",C512-D512)</f>
        <v/>
      </c>
    </row>
    <row r="513">
      <c r="D513">
        <f>IF(A513="","",SUMIFS(Contributions!E:E,Contributions!B:B,A513))</f>
        <v/>
      </c>
      <c r="E513">
        <f>IF(OR(A513="",C513=""),"",C513-D513)</f>
        <v/>
      </c>
    </row>
    <row r="514">
      <c r="D514">
        <f>IF(A514="","",SUMIFS(Contributions!E:E,Contributions!B:B,A514))</f>
        <v/>
      </c>
      <c r="E514">
        <f>IF(OR(A514="",C514=""),"",C514-D514)</f>
        <v/>
      </c>
    </row>
    <row r="515">
      <c r="D515">
        <f>IF(A515="","",SUMIFS(Contributions!E:E,Contributions!B:B,A515))</f>
        <v/>
      </c>
      <c r="E515">
        <f>IF(OR(A515="",C515=""),"",C515-D515)</f>
        <v/>
      </c>
    </row>
    <row r="516">
      <c r="D516">
        <f>IF(A516="","",SUMIFS(Contributions!E:E,Contributions!B:B,A516))</f>
        <v/>
      </c>
      <c r="E516">
        <f>IF(OR(A516="",C516=""),"",C516-D516)</f>
        <v/>
      </c>
    </row>
    <row r="517">
      <c r="D517">
        <f>IF(A517="","",SUMIFS(Contributions!E:E,Contributions!B:B,A517))</f>
        <v/>
      </c>
      <c r="E517">
        <f>IF(OR(A517="",C517=""),"",C517-D517)</f>
        <v/>
      </c>
    </row>
    <row r="518">
      <c r="D518">
        <f>IF(A518="","",SUMIFS(Contributions!E:E,Contributions!B:B,A518))</f>
        <v/>
      </c>
      <c r="E518">
        <f>IF(OR(A518="",C518=""),"",C518-D518)</f>
        <v/>
      </c>
    </row>
    <row r="519">
      <c r="D519">
        <f>IF(A519="","",SUMIFS(Contributions!E:E,Contributions!B:B,A519))</f>
        <v/>
      </c>
      <c r="E519">
        <f>IF(OR(A519="",C519=""),"",C519-D519)</f>
        <v/>
      </c>
    </row>
    <row r="520">
      <c r="D520">
        <f>IF(A520="","",SUMIFS(Contributions!E:E,Contributions!B:B,A520))</f>
        <v/>
      </c>
      <c r="E520">
        <f>IF(OR(A520="",C520=""),"",C520-D520)</f>
        <v/>
      </c>
    </row>
    <row r="521">
      <c r="D521">
        <f>IF(A521="","",SUMIFS(Contributions!E:E,Contributions!B:B,A521))</f>
        <v/>
      </c>
      <c r="E521">
        <f>IF(OR(A521="",C521=""),"",C521-D521)</f>
        <v/>
      </c>
    </row>
    <row r="522">
      <c r="D522">
        <f>IF(A522="","",SUMIFS(Contributions!E:E,Contributions!B:B,A522))</f>
        <v/>
      </c>
      <c r="E522">
        <f>IF(OR(A522="",C522=""),"",C522-D522)</f>
        <v/>
      </c>
    </row>
    <row r="523">
      <c r="D523">
        <f>IF(A523="","",SUMIFS(Contributions!E:E,Contributions!B:B,A523))</f>
        <v/>
      </c>
      <c r="E523">
        <f>IF(OR(A523="",C523=""),"",C523-D523)</f>
        <v/>
      </c>
    </row>
    <row r="524">
      <c r="D524">
        <f>IF(A524="","",SUMIFS(Contributions!E:E,Contributions!B:B,A524))</f>
        <v/>
      </c>
      <c r="E524">
        <f>IF(OR(A524="",C524=""),"",C524-D524)</f>
        <v/>
      </c>
    </row>
    <row r="525">
      <c r="D525">
        <f>IF(A525="","",SUMIFS(Contributions!E:E,Contributions!B:B,A525))</f>
        <v/>
      </c>
      <c r="E525">
        <f>IF(OR(A525="",C525=""),"",C525-D525)</f>
        <v/>
      </c>
    </row>
    <row r="526">
      <c r="D526">
        <f>IF(A526="","",SUMIFS(Contributions!E:E,Contributions!B:B,A526))</f>
        <v/>
      </c>
      <c r="E526">
        <f>IF(OR(A526="",C526=""),"",C526-D526)</f>
        <v/>
      </c>
    </row>
    <row r="527">
      <c r="D527">
        <f>IF(A527="","",SUMIFS(Contributions!E:E,Contributions!B:B,A527))</f>
        <v/>
      </c>
      <c r="E527">
        <f>IF(OR(A527="",C527=""),"",C527-D527)</f>
        <v/>
      </c>
    </row>
    <row r="528">
      <c r="D528">
        <f>IF(A528="","",SUMIFS(Contributions!E:E,Contributions!B:B,A528))</f>
        <v/>
      </c>
      <c r="E528">
        <f>IF(OR(A528="",C528=""),"",C528-D528)</f>
        <v/>
      </c>
    </row>
    <row r="529">
      <c r="D529">
        <f>IF(A529="","",SUMIFS(Contributions!E:E,Contributions!B:B,A529))</f>
        <v/>
      </c>
      <c r="E529">
        <f>IF(OR(A529="",C529=""),"",C529-D529)</f>
        <v/>
      </c>
    </row>
    <row r="530">
      <c r="D530">
        <f>IF(A530="","",SUMIFS(Contributions!E:E,Contributions!B:B,A530))</f>
        <v/>
      </c>
      <c r="E530">
        <f>IF(OR(A530="",C530=""),"",C530-D530)</f>
        <v/>
      </c>
    </row>
    <row r="531">
      <c r="D531">
        <f>IF(A531="","",SUMIFS(Contributions!E:E,Contributions!B:B,A531))</f>
        <v/>
      </c>
      <c r="E531">
        <f>IF(OR(A531="",C531=""),"",C531-D531)</f>
        <v/>
      </c>
    </row>
    <row r="532">
      <c r="D532">
        <f>IF(A532="","",SUMIFS(Contributions!E:E,Contributions!B:B,A532))</f>
        <v/>
      </c>
      <c r="E532">
        <f>IF(OR(A532="",C532=""),"",C532-D532)</f>
        <v/>
      </c>
    </row>
    <row r="533">
      <c r="D533">
        <f>IF(A533="","",SUMIFS(Contributions!E:E,Contributions!B:B,A533))</f>
        <v/>
      </c>
      <c r="E533">
        <f>IF(OR(A533="",C533=""),"",C533-D533)</f>
        <v/>
      </c>
    </row>
    <row r="534">
      <c r="D534">
        <f>IF(A534="","",SUMIFS(Contributions!E:E,Contributions!B:B,A534))</f>
        <v/>
      </c>
      <c r="E534">
        <f>IF(OR(A534="",C534=""),"",C534-D534)</f>
        <v/>
      </c>
    </row>
    <row r="535">
      <c r="D535">
        <f>IF(A535="","",SUMIFS(Contributions!E:E,Contributions!B:B,A535))</f>
        <v/>
      </c>
      <c r="E535">
        <f>IF(OR(A535="",C535=""),"",C535-D535)</f>
        <v/>
      </c>
    </row>
    <row r="536">
      <c r="D536">
        <f>IF(A536="","",SUMIFS(Contributions!E:E,Contributions!B:B,A536))</f>
        <v/>
      </c>
      <c r="E536">
        <f>IF(OR(A536="",C536=""),"",C536-D536)</f>
        <v/>
      </c>
    </row>
    <row r="537">
      <c r="D537">
        <f>IF(A537="","",SUMIFS(Contributions!E:E,Contributions!B:B,A537))</f>
        <v/>
      </c>
      <c r="E537">
        <f>IF(OR(A537="",C537=""),"",C537-D537)</f>
        <v/>
      </c>
    </row>
    <row r="538">
      <c r="D538">
        <f>IF(A538="","",SUMIFS(Contributions!E:E,Contributions!B:B,A538))</f>
        <v/>
      </c>
      <c r="E538">
        <f>IF(OR(A538="",C538=""),"",C538-D538)</f>
        <v/>
      </c>
    </row>
    <row r="539">
      <c r="D539">
        <f>IF(A539="","",SUMIFS(Contributions!E:E,Contributions!B:B,A539))</f>
        <v/>
      </c>
      <c r="E539">
        <f>IF(OR(A539="",C539=""),"",C539-D539)</f>
        <v/>
      </c>
    </row>
    <row r="540">
      <c r="D540">
        <f>IF(A540="","",SUMIFS(Contributions!E:E,Contributions!B:B,A540))</f>
        <v/>
      </c>
      <c r="E540">
        <f>IF(OR(A540="",C540=""),"",C540-D540)</f>
        <v/>
      </c>
    </row>
    <row r="541">
      <c r="D541">
        <f>IF(A541="","",SUMIFS(Contributions!E:E,Contributions!B:B,A541))</f>
        <v/>
      </c>
      <c r="E541">
        <f>IF(OR(A541="",C541=""),"",C541-D541)</f>
        <v/>
      </c>
    </row>
    <row r="542">
      <c r="D542">
        <f>IF(A542="","",SUMIFS(Contributions!E:E,Contributions!B:B,A542))</f>
        <v/>
      </c>
      <c r="E542">
        <f>IF(OR(A542="",C542=""),"",C542-D542)</f>
        <v/>
      </c>
    </row>
    <row r="543">
      <c r="D543">
        <f>IF(A543="","",SUMIFS(Contributions!E:E,Contributions!B:B,A543))</f>
        <v/>
      </c>
      <c r="E543">
        <f>IF(OR(A543="",C543=""),"",C543-D543)</f>
        <v/>
      </c>
    </row>
    <row r="544">
      <c r="D544">
        <f>IF(A544="","",SUMIFS(Contributions!E:E,Contributions!B:B,A544))</f>
        <v/>
      </c>
      <c r="E544">
        <f>IF(OR(A544="",C544=""),"",C544-D544)</f>
        <v/>
      </c>
    </row>
    <row r="545">
      <c r="D545">
        <f>IF(A545="","",SUMIFS(Contributions!E:E,Contributions!B:B,A545))</f>
        <v/>
      </c>
      <c r="E545">
        <f>IF(OR(A545="",C545=""),"",C545-D545)</f>
        <v/>
      </c>
    </row>
    <row r="546">
      <c r="D546">
        <f>IF(A546="","",SUMIFS(Contributions!E:E,Contributions!B:B,A546))</f>
        <v/>
      </c>
      <c r="E546">
        <f>IF(OR(A546="",C546=""),"",C546-D546)</f>
        <v/>
      </c>
    </row>
    <row r="547">
      <c r="D547">
        <f>IF(A547="","",SUMIFS(Contributions!E:E,Contributions!B:B,A547))</f>
        <v/>
      </c>
      <c r="E547">
        <f>IF(OR(A547="",C547=""),"",C547-D547)</f>
        <v/>
      </c>
    </row>
    <row r="548">
      <c r="D548">
        <f>IF(A548="","",SUMIFS(Contributions!E:E,Contributions!B:B,A548))</f>
        <v/>
      </c>
      <c r="E548">
        <f>IF(OR(A548="",C548=""),"",C548-D548)</f>
        <v/>
      </c>
    </row>
    <row r="549">
      <c r="D549">
        <f>IF(A549="","",SUMIFS(Contributions!E:E,Contributions!B:B,A549))</f>
        <v/>
      </c>
      <c r="E549">
        <f>IF(OR(A549="",C549=""),"",C549-D549)</f>
        <v/>
      </c>
    </row>
    <row r="550">
      <c r="D550">
        <f>IF(A550="","",SUMIFS(Contributions!E:E,Contributions!B:B,A550))</f>
        <v/>
      </c>
      <c r="E550">
        <f>IF(OR(A550="",C550=""),"",C550-D550)</f>
        <v/>
      </c>
    </row>
    <row r="551">
      <c r="D551">
        <f>IF(A551="","",SUMIFS(Contributions!E:E,Contributions!B:B,A551))</f>
        <v/>
      </c>
      <c r="E551">
        <f>IF(OR(A551="",C551=""),"",C551-D551)</f>
        <v/>
      </c>
    </row>
    <row r="552">
      <c r="D552">
        <f>IF(A552="","",SUMIFS(Contributions!E:E,Contributions!B:B,A552))</f>
        <v/>
      </c>
      <c r="E552">
        <f>IF(OR(A552="",C552=""),"",C552-D552)</f>
        <v/>
      </c>
    </row>
    <row r="553">
      <c r="D553">
        <f>IF(A553="","",SUMIFS(Contributions!E:E,Contributions!B:B,A553))</f>
        <v/>
      </c>
      <c r="E553">
        <f>IF(OR(A553="",C553=""),"",C553-D553)</f>
        <v/>
      </c>
    </row>
    <row r="554">
      <c r="D554">
        <f>IF(A554="","",SUMIFS(Contributions!E:E,Contributions!B:B,A554))</f>
        <v/>
      </c>
      <c r="E554">
        <f>IF(OR(A554="",C554=""),"",C554-D554)</f>
        <v/>
      </c>
    </row>
    <row r="555">
      <c r="D555">
        <f>IF(A555="","",SUMIFS(Contributions!E:E,Contributions!B:B,A555))</f>
        <v/>
      </c>
      <c r="E555">
        <f>IF(OR(A555="",C555=""),"",C555-D555)</f>
        <v/>
      </c>
    </row>
    <row r="556">
      <c r="D556">
        <f>IF(A556="","",SUMIFS(Contributions!E:E,Contributions!B:B,A556))</f>
        <v/>
      </c>
      <c r="E556">
        <f>IF(OR(A556="",C556=""),"",C556-D556)</f>
        <v/>
      </c>
    </row>
    <row r="557">
      <c r="D557">
        <f>IF(A557="","",SUMIFS(Contributions!E:E,Contributions!B:B,A557))</f>
        <v/>
      </c>
      <c r="E557">
        <f>IF(OR(A557="",C557=""),"",C557-D557)</f>
        <v/>
      </c>
    </row>
    <row r="558">
      <c r="D558">
        <f>IF(A558="","",SUMIFS(Contributions!E:E,Contributions!B:B,A558))</f>
        <v/>
      </c>
      <c r="E558">
        <f>IF(OR(A558="",C558=""),"",C558-D558)</f>
        <v/>
      </c>
    </row>
    <row r="559">
      <c r="D559">
        <f>IF(A559="","",SUMIFS(Contributions!E:E,Contributions!B:B,A559))</f>
        <v/>
      </c>
      <c r="E559">
        <f>IF(OR(A559="",C559=""),"",C559-D559)</f>
        <v/>
      </c>
    </row>
    <row r="560">
      <c r="D560">
        <f>IF(A560="","",SUMIFS(Contributions!E:E,Contributions!B:B,A560))</f>
        <v/>
      </c>
      <c r="E560">
        <f>IF(OR(A560="",C560=""),"",C560-D560)</f>
        <v/>
      </c>
    </row>
    <row r="561">
      <c r="D561">
        <f>IF(A561="","",SUMIFS(Contributions!E:E,Contributions!B:B,A561))</f>
        <v/>
      </c>
      <c r="E561">
        <f>IF(OR(A561="",C561=""),"",C561-D561)</f>
        <v/>
      </c>
    </row>
    <row r="562">
      <c r="D562">
        <f>IF(A562="","",SUMIFS(Contributions!E:E,Contributions!B:B,A562))</f>
        <v/>
      </c>
      <c r="E562">
        <f>IF(OR(A562="",C562=""),"",C562-D562)</f>
        <v/>
      </c>
    </row>
    <row r="563">
      <c r="D563">
        <f>IF(A563="","",SUMIFS(Contributions!E:E,Contributions!B:B,A563))</f>
        <v/>
      </c>
      <c r="E563">
        <f>IF(OR(A563="",C563=""),"",C563-D563)</f>
        <v/>
      </c>
    </row>
    <row r="564">
      <c r="D564">
        <f>IF(A564="","",SUMIFS(Contributions!E:E,Contributions!B:B,A564))</f>
        <v/>
      </c>
      <c r="E564">
        <f>IF(OR(A564="",C564=""),"",C564-D564)</f>
        <v/>
      </c>
    </row>
    <row r="565">
      <c r="D565">
        <f>IF(A565="","",SUMIFS(Contributions!E:E,Contributions!B:B,A565))</f>
        <v/>
      </c>
      <c r="E565">
        <f>IF(OR(A565="",C565=""),"",C565-D565)</f>
        <v/>
      </c>
    </row>
    <row r="566">
      <c r="D566">
        <f>IF(A566="","",SUMIFS(Contributions!E:E,Contributions!B:B,A566))</f>
        <v/>
      </c>
      <c r="E566">
        <f>IF(OR(A566="",C566=""),"",C566-D566)</f>
        <v/>
      </c>
    </row>
    <row r="567">
      <c r="D567">
        <f>IF(A567="","",SUMIFS(Contributions!E:E,Contributions!B:B,A567))</f>
        <v/>
      </c>
      <c r="E567">
        <f>IF(OR(A567="",C567=""),"",C567-D567)</f>
        <v/>
      </c>
    </row>
    <row r="568">
      <c r="D568">
        <f>IF(A568="","",SUMIFS(Contributions!E:E,Contributions!B:B,A568))</f>
        <v/>
      </c>
      <c r="E568">
        <f>IF(OR(A568="",C568=""),"",C568-D568)</f>
        <v/>
      </c>
    </row>
    <row r="569">
      <c r="D569">
        <f>IF(A569="","",SUMIFS(Contributions!E:E,Contributions!B:B,A569))</f>
        <v/>
      </c>
      <c r="E569">
        <f>IF(OR(A569="",C569=""),"",C569-D569)</f>
        <v/>
      </c>
    </row>
    <row r="570">
      <c r="D570">
        <f>IF(A570="","",SUMIFS(Contributions!E:E,Contributions!B:B,A570))</f>
        <v/>
      </c>
      <c r="E570">
        <f>IF(OR(A570="",C570=""),"",C570-D570)</f>
        <v/>
      </c>
    </row>
    <row r="571">
      <c r="D571">
        <f>IF(A571="","",SUMIFS(Contributions!E:E,Contributions!B:B,A571))</f>
        <v/>
      </c>
      <c r="E571">
        <f>IF(OR(A571="",C571=""),"",C571-D571)</f>
        <v/>
      </c>
    </row>
    <row r="572">
      <c r="D572">
        <f>IF(A572="","",SUMIFS(Contributions!E:E,Contributions!B:B,A572))</f>
        <v/>
      </c>
      <c r="E572">
        <f>IF(OR(A572="",C572=""),"",C572-D572)</f>
        <v/>
      </c>
    </row>
    <row r="573">
      <c r="D573">
        <f>IF(A573="","",SUMIFS(Contributions!E:E,Contributions!B:B,A573))</f>
        <v/>
      </c>
      <c r="E573">
        <f>IF(OR(A573="",C573=""),"",C573-D573)</f>
        <v/>
      </c>
    </row>
    <row r="574">
      <c r="D574">
        <f>IF(A574="","",SUMIFS(Contributions!E:E,Contributions!B:B,A574))</f>
        <v/>
      </c>
      <c r="E574">
        <f>IF(OR(A574="",C574=""),"",C574-D574)</f>
        <v/>
      </c>
    </row>
    <row r="575">
      <c r="D575">
        <f>IF(A575="","",SUMIFS(Contributions!E:E,Contributions!B:B,A575))</f>
        <v/>
      </c>
      <c r="E575">
        <f>IF(OR(A575="",C575=""),"",C575-D575)</f>
        <v/>
      </c>
    </row>
    <row r="576">
      <c r="D576">
        <f>IF(A576="","",SUMIFS(Contributions!E:E,Contributions!B:B,A576))</f>
        <v/>
      </c>
      <c r="E576">
        <f>IF(OR(A576="",C576=""),"",C576-D576)</f>
        <v/>
      </c>
    </row>
    <row r="577">
      <c r="D577">
        <f>IF(A577="","",SUMIFS(Contributions!E:E,Contributions!B:B,A577))</f>
        <v/>
      </c>
      <c r="E577">
        <f>IF(OR(A577="",C577=""),"",C577-D577)</f>
        <v/>
      </c>
    </row>
    <row r="578">
      <c r="D578">
        <f>IF(A578="","",SUMIFS(Contributions!E:E,Contributions!B:B,A578))</f>
        <v/>
      </c>
      <c r="E578">
        <f>IF(OR(A578="",C578=""),"",C578-D578)</f>
        <v/>
      </c>
    </row>
    <row r="579">
      <c r="D579">
        <f>IF(A579="","",SUMIFS(Contributions!E:E,Contributions!B:B,A579))</f>
        <v/>
      </c>
      <c r="E579">
        <f>IF(OR(A579="",C579=""),"",C579-D579)</f>
        <v/>
      </c>
    </row>
    <row r="580">
      <c r="D580">
        <f>IF(A580="","",SUMIFS(Contributions!E:E,Contributions!B:B,A580))</f>
        <v/>
      </c>
      <c r="E580">
        <f>IF(OR(A580="",C580=""),"",C580-D580)</f>
        <v/>
      </c>
    </row>
    <row r="581">
      <c r="D581">
        <f>IF(A581="","",SUMIFS(Contributions!E:E,Contributions!B:B,A581))</f>
        <v/>
      </c>
      <c r="E581">
        <f>IF(OR(A581="",C581=""),"",C581-D581)</f>
        <v/>
      </c>
    </row>
    <row r="582">
      <c r="D582">
        <f>IF(A582="","",SUMIFS(Contributions!E:E,Contributions!B:B,A582))</f>
        <v/>
      </c>
      <c r="E582">
        <f>IF(OR(A582="",C582=""),"",C582-D582)</f>
        <v/>
      </c>
    </row>
    <row r="583">
      <c r="D583">
        <f>IF(A583="","",SUMIFS(Contributions!E:E,Contributions!B:B,A583))</f>
        <v/>
      </c>
      <c r="E583">
        <f>IF(OR(A583="",C583=""),"",C583-D583)</f>
        <v/>
      </c>
    </row>
    <row r="584">
      <c r="D584">
        <f>IF(A584="","",SUMIFS(Contributions!E:E,Contributions!B:B,A584))</f>
        <v/>
      </c>
      <c r="E584">
        <f>IF(OR(A584="",C584=""),"",C584-D584)</f>
        <v/>
      </c>
    </row>
    <row r="585">
      <c r="D585">
        <f>IF(A585="","",SUMIFS(Contributions!E:E,Contributions!B:B,A585))</f>
        <v/>
      </c>
      <c r="E585">
        <f>IF(OR(A585="",C585=""),"",C585-D585)</f>
        <v/>
      </c>
    </row>
    <row r="586">
      <c r="D586">
        <f>IF(A586="","",SUMIFS(Contributions!E:E,Contributions!B:B,A586))</f>
        <v/>
      </c>
      <c r="E586">
        <f>IF(OR(A586="",C586=""),"",C586-D586)</f>
        <v/>
      </c>
    </row>
    <row r="587">
      <c r="D587">
        <f>IF(A587="","",SUMIFS(Contributions!E:E,Contributions!B:B,A587))</f>
        <v/>
      </c>
      <c r="E587">
        <f>IF(OR(A587="",C587=""),"",C587-D587)</f>
        <v/>
      </c>
    </row>
    <row r="588">
      <c r="D588">
        <f>IF(A588="","",SUMIFS(Contributions!E:E,Contributions!B:B,A588))</f>
        <v/>
      </c>
      <c r="E588">
        <f>IF(OR(A588="",C588=""),"",C588-D588)</f>
        <v/>
      </c>
    </row>
    <row r="589">
      <c r="D589">
        <f>IF(A589="","",SUMIFS(Contributions!E:E,Contributions!B:B,A589))</f>
        <v/>
      </c>
      <c r="E589">
        <f>IF(OR(A589="",C589=""),"",C589-D589)</f>
        <v/>
      </c>
    </row>
    <row r="590">
      <c r="D590">
        <f>IF(A590="","",SUMIFS(Contributions!E:E,Contributions!B:B,A590))</f>
        <v/>
      </c>
      <c r="E590">
        <f>IF(OR(A590="",C590=""),"",C590-D590)</f>
        <v/>
      </c>
    </row>
    <row r="591">
      <c r="D591">
        <f>IF(A591="","",SUMIFS(Contributions!E:E,Contributions!B:B,A591))</f>
        <v/>
      </c>
      <c r="E591">
        <f>IF(OR(A591="",C591=""),"",C591-D591)</f>
        <v/>
      </c>
    </row>
    <row r="592">
      <c r="D592">
        <f>IF(A592="","",SUMIFS(Contributions!E:E,Contributions!B:B,A592))</f>
        <v/>
      </c>
      <c r="E592">
        <f>IF(OR(A592="",C592=""),"",C592-D592)</f>
        <v/>
      </c>
    </row>
    <row r="593">
      <c r="D593">
        <f>IF(A593="","",SUMIFS(Contributions!E:E,Contributions!B:B,A593))</f>
        <v/>
      </c>
      <c r="E593">
        <f>IF(OR(A593="",C593=""),"",C593-D593)</f>
        <v/>
      </c>
    </row>
    <row r="594">
      <c r="D594">
        <f>IF(A594="","",SUMIFS(Contributions!E:E,Contributions!B:B,A594))</f>
        <v/>
      </c>
      <c r="E594">
        <f>IF(OR(A594="",C594=""),"",C594-D594)</f>
        <v/>
      </c>
    </row>
    <row r="595">
      <c r="D595">
        <f>IF(A595="","",SUMIFS(Contributions!E:E,Contributions!B:B,A595))</f>
        <v/>
      </c>
      <c r="E595">
        <f>IF(OR(A595="",C595=""),"",C595-D595)</f>
        <v/>
      </c>
    </row>
    <row r="596">
      <c r="D596">
        <f>IF(A596="","",SUMIFS(Contributions!E:E,Contributions!B:B,A596))</f>
        <v/>
      </c>
      <c r="E596">
        <f>IF(OR(A596="",C596=""),"",C596-D596)</f>
        <v/>
      </c>
    </row>
    <row r="597">
      <c r="D597">
        <f>IF(A597="","",SUMIFS(Contributions!E:E,Contributions!B:B,A597))</f>
        <v/>
      </c>
      <c r="E597">
        <f>IF(OR(A597="",C597=""),"",C597-D597)</f>
        <v/>
      </c>
    </row>
    <row r="598">
      <c r="D598">
        <f>IF(A598="","",SUMIFS(Contributions!E:E,Contributions!B:B,A598))</f>
        <v/>
      </c>
      <c r="E598">
        <f>IF(OR(A598="",C598=""),"",C598-D598)</f>
        <v/>
      </c>
    </row>
    <row r="599">
      <c r="D599">
        <f>IF(A599="","",SUMIFS(Contributions!E:E,Contributions!B:B,A599))</f>
        <v/>
      </c>
      <c r="E599">
        <f>IF(OR(A599="",C599=""),"",C599-D599)</f>
        <v/>
      </c>
    </row>
    <row r="600">
      <c r="D600">
        <f>IF(A600="","",SUMIFS(Contributions!E:E,Contributions!B:B,A600))</f>
        <v/>
      </c>
      <c r="E600">
        <f>IF(OR(A600="",C600=""),"",C600-D600)</f>
        <v/>
      </c>
    </row>
    <row r="601">
      <c r="D601">
        <f>IF(A601="","",SUMIFS(Contributions!E:E,Contributions!B:B,A601))</f>
        <v/>
      </c>
      <c r="E601">
        <f>IF(OR(A601="",C601=""),"",C601-D601)</f>
        <v/>
      </c>
    </row>
    <row r="602">
      <c r="D602">
        <f>IF(A602="","",SUMIFS(Contributions!E:E,Contributions!B:B,A602))</f>
        <v/>
      </c>
      <c r="E602">
        <f>IF(OR(A602="",C602=""),"",C602-D602)</f>
        <v/>
      </c>
    </row>
    <row r="603">
      <c r="D603">
        <f>IF(A603="","",SUMIFS(Contributions!E:E,Contributions!B:B,A603))</f>
        <v/>
      </c>
      <c r="E603">
        <f>IF(OR(A603="",C603=""),"",C603-D603)</f>
        <v/>
      </c>
    </row>
    <row r="604">
      <c r="D604">
        <f>IF(A604="","",SUMIFS(Contributions!E:E,Contributions!B:B,A604))</f>
        <v/>
      </c>
      <c r="E604">
        <f>IF(OR(A604="",C604=""),"",C604-D604)</f>
        <v/>
      </c>
    </row>
    <row r="605">
      <c r="D605">
        <f>IF(A605="","",SUMIFS(Contributions!E:E,Contributions!B:B,A605))</f>
        <v/>
      </c>
      <c r="E605">
        <f>IF(OR(A605="",C605=""),"",C605-D605)</f>
        <v/>
      </c>
    </row>
    <row r="606">
      <c r="D606">
        <f>IF(A606="","",SUMIFS(Contributions!E:E,Contributions!B:B,A606))</f>
        <v/>
      </c>
      <c r="E606">
        <f>IF(OR(A606="",C606=""),"",C606-D606)</f>
        <v/>
      </c>
    </row>
    <row r="607">
      <c r="D607">
        <f>IF(A607="","",SUMIFS(Contributions!E:E,Contributions!B:B,A607))</f>
        <v/>
      </c>
      <c r="E607">
        <f>IF(OR(A607="",C607=""),"",C607-D607)</f>
        <v/>
      </c>
    </row>
    <row r="608">
      <c r="D608">
        <f>IF(A608="","",SUMIFS(Contributions!E:E,Contributions!B:B,A608))</f>
        <v/>
      </c>
      <c r="E608">
        <f>IF(OR(A608="",C608=""),"",C608-D608)</f>
        <v/>
      </c>
    </row>
    <row r="609">
      <c r="D609">
        <f>IF(A609="","",SUMIFS(Contributions!E:E,Contributions!B:B,A609))</f>
        <v/>
      </c>
      <c r="E609">
        <f>IF(OR(A609="",C609=""),"",C609-D609)</f>
        <v/>
      </c>
    </row>
    <row r="610">
      <c r="D610">
        <f>IF(A610="","",SUMIFS(Contributions!E:E,Contributions!B:B,A610))</f>
        <v/>
      </c>
      <c r="E610">
        <f>IF(OR(A610="",C610=""),"",C610-D610)</f>
        <v/>
      </c>
    </row>
    <row r="611">
      <c r="D611">
        <f>IF(A611="","",SUMIFS(Contributions!E:E,Contributions!B:B,A611))</f>
        <v/>
      </c>
      <c r="E611">
        <f>IF(OR(A611="",C611=""),"",C611-D611)</f>
        <v/>
      </c>
    </row>
    <row r="612">
      <c r="D612">
        <f>IF(A612="","",SUMIFS(Contributions!E:E,Contributions!B:B,A612))</f>
        <v/>
      </c>
      <c r="E612">
        <f>IF(OR(A612="",C612=""),"",C612-D612)</f>
        <v/>
      </c>
    </row>
    <row r="613">
      <c r="D613">
        <f>IF(A613="","",SUMIFS(Contributions!E:E,Contributions!B:B,A613))</f>
        <v/>
      </c>
      <c r="E613">
        <f>IF(OR(A613="",C613=""),"",C613-D613)</f>
        <v/>
      </c>
    </row>
    <row r="614">
      <c r="D614">
        <f>IF(A614="","",SUMIFS(Contributions!E:E,Contributions!B:B,A614))</f>
        <v/>
      </c>
      <c r="E614">
        <f>IF(OR(A614="",C614=""),"",C614-D614)</f>
        <v/>
      </c>
    </row>
    <row r="615">
      <c r="D615">
        <f>IF(A615="","",SUMIFS(Contributions!E:E,Contributions!B:B,A615))</f>
        <v/>
      </c>
      <c r="E615">
        <f>IF(OR(A615="",C615=""),"",C615-D615)</f>
        <v/>
      </c>
    </row>
    <row r="616">
      <c r="D616">
        <f>IF(A616="","",SUMIFS(Contributions!E:E,Contributions!B:B,A616))</f>
        <v/>
      </c>
      <c r="E616">
        <f>IF(OR(A616="",C616=""),"",C616-D616)</f>
        <v/>
      </c>
    </row>
    <row r="617">
      <c r="D617">
        <f>IF(A617="","",SUMIFS(Contributions!E:E,Contributions!B:B,A617))</f>
        <v/>
      </c>
      <c r="E617">
        <f>IF(OR(A617="",C617=""),"",C617-D617)</f>
        <v/>
      </c>
    </row>
    <row r="618">
      <c r="D618">
        <f>IF(A618="","",SUMIFS(Contributions!E:E,Contributions!B:B,A618))</f>
        <v/>
      </c>
      <c r="E618">
        <f>IF(OR(A618="",C618=""),"",C618-D618)</f>
        <v/>
      </c>
    </row>
    <row r="619">
      <c r="D619">
        <f>IF(A619="","",SUMIFS(Contributions!E:E,Contributions!B:B,A619))</f>
        <v/>
      </c>
      <c r="E619">
        <f>IF(OR(A619="",C619=""),"",C619-D619)</f>
        <v/>
      </c>
    </row>
    <row r="620">
      <c r="D620">
        <f>IF(A620="","",SUMIFS(Contributions!E:E,Contributions!B:B,A620))</f>
        <v/>
      </c>
      <c r="E620">
        <f>IF(OR(A620="",C620=""),"",C620-D620)</f>
        <v/>
      </c>
    </row>
    <row r="621">
      <c r="D621">
        <f>IF(A621="","",SUMIFS(Contributions!E:E,Contributions!B:B,A621))</f>
        <v/>
      </c>
      <c r="E621">
        <f>IF(OR(A621="",C621=""),"",C621-D621)</f>
        <v/>
      </c>
    </row>
    <row r="622">
      <c r="D622">
        <f>IF(A622="","",SUMIFS(Contributions!E:E,Contributions!B:B,A622))</f>
        <v/>
      </c>
      <c r="E622">
        <f>IF(OR(A622="",C622=""),"",C622-D622)</f>
        <v/>
      </c>
    </row>
    <row r="623">
      <c r="D623">
        <f>IF(A623="","",SUMIFS(Contributions!E:E,Contributions!B:B,A623))</f>
        <v/>
      </c>
      <c r="E623">
        <f>IF(OR(A623="",C623=""),"",C623-D623)</f>
        <v/>
      </c>
    </row>
    <row r="624">
      <c r="D624">
        <f>IF(A624="","",SUMIFS(Contributions!E:E,Contributions!B:B,A624))</f>
        <v/>
      </c>
      <c r="E624">
        <f>IF(OR(A624="",C624=""),"",C624-D624)</f>
        <v/>
      </c>
    </row>
    <row r="625">
      <c r="D625">
        <f>IF(A625="","",SUMIFS(Contributions!E:E,Contributions!B:B,A625))</f>
        <v/>
      </c>
      <c r="E625">
        <f>IF(OR(A625="",C625=""),"",C625-D625)</f>
        <v/>
      </c>
    </row>
    <row r="626">
      <c r="D626">
        <f>IF(A626="","",SUMIFS(Contributions!E:E,Contributions!B:B,A626))</f>
        <v/>
      </c>
      <c r="E626">
        <f>IF(OR(A626="",C626=""),"",C626-D626)</f>
        <v/>
      </c>
    </row>
    <row r="627">
      <c r="D627">
        <f>IF(A627="","",SUMIFS(Contributions!E:E,Contributions!B:B,A627))</f>
        <v/>
      </c>
      <c r="E627">
        <f>IF(OR(A627="",C627=""),"",C627-D627)</f>
        <v/>
      </c>
    </row>
    <row r="628">
      <c r="D628">
        <f>IF(A628="","",SUMIFS(Contributions!E:E,Contributions!B:B,A628))</f>
        <v/>
      </c>
      <c r="E628">
        <f>IF(OR(A628="",C628=""),"",C628-D628)</f>
        <v/>
      </c>
    </row>
    <row r="629">
      <c r="D629">
        <f>IF(A629="","",SUMIFS(Contributions!E:E,Contributions!B:B,A629))</f>
        <v/>
      </c>
      <c r="E629">
        <f>IF(OR(A629="",C629=""),"",C629-D629)</f>
        <v/>
      </c>
    </row>
    <row r="630">
      <c r="D630">
        <f>IF(A630="","",SUMIFS(Contributions!E:E,Contributions!B:B,A630))</f>
        <v/>
      </c>
      <c r="E630">
        <f>IF(OR(A630="",C630=""),"",C630-D630)</f>
        <v/>
      </c>
    </row>
    <row r="631">
      <c r="D631">
        <f>IF(A631="","",SUMIFS(Contributions!E:E,Contributions!B:B,A631))</f>
        <v/>
      </c>
      <c r="E631">
        <f>IF(OR(A631="",C631=""),"",C631-D631)</f>
        <v/>
      </c>
    </row>
    <row r="632">
      <c r="D632">
        <f>IF(A632="","",SUMIFS(Contributions!E:E,Contributions!B:B,A632))</f>
        <v/>
      </c>
      <c r="E632">
        <f>IF(OR(A632="",C632=""),"",C632-D632)</f>
        <v/>
      </c>
    </row>
    <row r="633">
      <c r="D633">
        <f>IF(A633="","",SUMIFS(Contributions!E:E,Contributions!B:B,A633))</f>
        <v/>
      </c>
      <c r="E633">
        <f>IF(OR(A633="",C633=""),"",C633-D633)</f>
        <v/>
      </c>
    </row>
    <row r="634">
      <c r="D634">
        <f>IF(A634="","",SUMIFS(Contributions!E:E,Contributions!B:B,A634))</f>
        <v/>
      </c>
      <c r="E634">
        <f>IF(OR(A634="",C634=""),"",C634-D634)</f>
        <v/>
      </c>
    </row>
    <row r="635">
      <c r="D635">
        <f>IF(A635="","",SUMIFS(Contributions!E:E,Contributions!B:B,A635))</f>
        <v/>
      </c>
      <c r="E635">
        <f>IF(OR(A635="",C635=""),"",C635-D635)</f>
        <v/>
      </c>
    </row>
    <row r="636">
      <c r="D636">
        <f>IF(A636="","",SUMIFS(Contributions!E:E,Contributions!B:B,A636))</f>
        <v/>
      </c>
      <c r="E636">
        <f>IF(OR(A636="",C636=""),"",C636-D636)</f>
        <v/>
      </c>
    </row>
    <row r="637">
      <c r="D637">
        <f>IF(A637="","",SUMIFS(Contributions!E:E,Contributions!B:B,A637))</f>
        <v/>
      </c>
      <c r="E637">
        <f>IF(OR(A637="",C637=""),"",C637-D637)</f>
        <v/>
      </c>
    </row>
    <row r="638">
      <c r="D638">
        <f>IF(A638="","",SUMIFS(Contributions!E:E,Contributions!B:B,A638))</f>
        <v/>
      </c>
      <c r="E638">
        <f>IF(OR(A638="",C638=""),"",C638-D638)</f>
        <v/>
      </c>
    </row>
    <row r="639">
      <c r="D639">
        <f>IF(A639="","",SUMIFS(Contributions!E:E,Contributions!B:B,A639))</f>
        <v/>
      </c>
      <c r="E639">
        <f>IF(OR(A639="",C639=""),"",C639-D639)</f>
        <v/>
      </c>
    </row>
    <row r="640">
      <c r="D640">
        <f>IF(A640="","",SUMIFS(Contributions!E:E,Contributions!B:B,A640))</f>
        <v/>
      </c>
      <c r="E640">
        <f>IF(OR(A640="",C640=""),"",C640-D640)</f>
        <v/>
      </c>
    </row>
    <row r="641">
      <c r="D641">
        <f>IF(A641="","",SUMIFS(Contributions!E:E,Contributions!B:B,A641))</f>
        <v/>
      </c>
      <c r="E641">
        <f>IF(OR(A641="",C641=""),"",C641-D641)</f>
        <v/>
      </c>
    </row>
    <row r="642">
      <c r="D642">
        <f>IF(A642="","",SUMIFS(Contributions!E:E,Contributions!B:B,A642))</f>
        <v/>
      </c>
      <c r="E642">
        <f>IF(OR(A642="",C642=""),"",C642-D642)</f>
        <v/>
      </c>
    </row>
    <row r="643">
      <c r="D643">
        <f>IF(A643="","",SUMIFS(Contributions!E:E,Contributions!B:B,A643))</f>
        <v/>
      </c>
      <c r="E643">
        <f>IF(OR(A643="",C643=""),"",C643-D643)</f>
        <v/>
      </c>
    </row>
    <row r="644">
      <c r="D644">
        <f>IF(A644="","",SUMIFS(Contributions!E:E,Contributions!B:B,A644))</f>
        <v/>
      </c>
      <c r="E644">
        <f>IF(OR(A644="",C644=""),"",C644-D644)</f>
        <v/>
      </c>
    </row>
    <row r="645">
      <c r="D645">
        <f>IF(A645="","",SUMIFS(Contributions!E:E,Contributions!B:B,A645))</f>
        <v/>
      </c>
      <c r="E645">
        <f>IF(OR(A645="",C645=""),"",C645-D645)</f>
        <v/>
      </c>
    </row>
    <row r="646">
      <c r="D646">
        <f>IF(A646="","",SUMIFS(Contributions!E:E,Contributions!B:B,A646))</f>
        <v/>
      </c>
      <c r="E646">
        <f>IF(OR(A646="",C646=""),"",C646-D646)</f>
        <v/>
      </c>
    </row>
    <row r="647">
      <c r="D647">
        <f>IF(A647="","",SUMIFS(Contributions!E:E,Contributions!B:B,A647))</f>
        <v/>
      </c>
      <c r="E647">
        <f>IF(OR(A647="",C647=""),"",C647-D647)</f>
        <v/>
      </c>
    </row>
    <row r="648">
      <c r="D648">
        <f>IF(A648="","",SUMIFS(Contributions!E:E,Contributions!B:B,A648))</f>
        <v/>
      </c>
      <c r="E648">
        <f>IF(OR(A648="",C648=""),"",C648-D648)</f>
        <v/>
      </c>
    </row>
    <row r="649">
      <c r="D649">
        <f>IF(A649="","",SUMIFS(Contributions!E:E,Contributions!B:B,A649))</f>
        <v/>
      </c>
      <c r="E649">
        <f>IF(OR(A649="",C649=""),"",C649-D649)</f>
        <v/>
      </c>
    </row>
    <row r="650">
      <c r="D650">
        <f>IF(A650="","",SUMIFS(Contributions!E:E,Contributions!B:B,A650))</f>
        <v/>
      </c>
      <c r="E650">
        <f>IF(OR(A650="",C650=""),"",C650-D650)</f>
        <v/>
      </c>
    </row>
    <row r="651">
      <c r="D651">
        <f>IF(A651="","",SUMIFS(Contributions!E:E,Contributions!B:B,A651))</f>
        <v/>
      </c>
      <c r="E651">
        <f>IF(OR(A651="",C651=""),"",C651-D651)</f>
        <v/>
      </c>
    </row>
    <row r="652">
      <c r="D652">
        <f>IF(A652="","",SUMIFS(Contributions!E:E,Contributions!B:B,A652))</f>
        <v/>
      </c>
      <c r="E652">
        <f>IF(OR(A652="",C652=""),"",C652-D652)</f>
        <v/>
      </c>
    </row>
    <row r="653">
      <c r="D653">
        <f>IF(A653="","",SUMIFS(Contributions!E:E,Contributions!B:B,A653))</f>
        <v/>
      </c>
      <c r="E653">
        <f>IF(OR(A653="",C653=""),"",C653-D653)</f>
        <v/>
      </c>
    </row>
    <row r="654">
      <c r="D654">
        <f>IF(A654="","",SUMIFS(Contributions!E:E,Contributions!B:B,A654))</f>
        <v/>
      </c>
      <c r="E654">
        <f>IF(OR(A654="",C654=""),"",C654-D654)</f>
        <v/>
      </c>
    </row>
    <row r="655">
      <c r="D655">
        <f>IF(A655="","",SUMIFS(Contributions!E:E,Contributions!B:B,A655))</f>
        <v/>
      </c>
      <c r="E655">
        <f>IF(OR(A655="",C655=""),"",C655-D655)</f>
        <v/>
      </c>
    </row>
    <row r="656">
      <c r="D656">
        <f>IF(A656="","",SUMIFS(Contributions!E:E,Contributions!B:B,A656))</f>
        <v/>
      </c>
      <c r="E656">
        <f>IF(OR(A656="",C656=""),"",C656-D656)</f>
        <v/>
      </c>
    </row>
    <row r="657">
      <c r="D657">
        <f>IF(A657="","",SUMIFS(Contributions!E:E,Contributions!B:B,A657))</f>
        <v/>
      </c>
      <c r="E657">
        <f>IF(OR(A657="",C657=""),"",C657-D657)</f>
        <v/>
      </c>
    </row>
    <row r="658">
      <c r="D658">
        <f>IF(A658="","",SUMIFS(Contributions!E:E,Contributions!B:B,A658))</f>
        <v/>
      </c>
      <c r="E658">
        <f>IF(OR(A658="",C658=""),"",C658-D658)</f>
        <v/>
      </c>
    </row>
    <row r="659">
      <c r="D659">
        <f>IF(A659="","",SUMIFS(Contributions!E:E,Contributions!B:B,A659))</f>
        <v/>
      </c>
      <c r="E659">
        <f>IF(OR(A659="",C659=""),"",C659-D659)</f>
        <v/>
      </c>
    </row>
    <row r="660">
      <c r="D660">
        <f>IF(A660="","",SUMIFS(Contributions!E:E,Contributions!B:B,A660))</f>
        <v/>
      </c>
      <c r="E660">
        <f>IF(OR(A660="",C660=""),"",C660-D660)</f>
        <v/>
      </c>
    </row>
    <row r="661">
      <c r="D661">
        <f>IF(A661="","",SUMIFS(Contributions!E:E,Contributions!B:B,A661))</f>
        <v/>
      </c>
      <c r="E661">
        <f>IF(OR(A661="",C661=""),"",C661-D661)</f>
        <v/>
      </c>
    </row>
    <row r="662">
      <c r="D662">
        <f>IF(A662="","",SUMIFS(Contributions!E:E,Contributions!B:B,A662))</f>
        <v/>
      </c>
      <c r="E662">
        <f>IF(OR(A662="",C662=""),"",C662-D662)</f>
        <v/>
      </c>
    </row>
    <row r="663">
      <c r="D663">
        <f>IF(A663="","",SUMIFS(Contributions!E:E,Contributions!B:B,A663))</f>
        <v/>
      </c>
      <c r="E663">
        <f>IF(OR(A663="",C663=""),"",C663-D663)</f>
        <v/>
      </c>
    </row>
    <row r="664">
      <c r="D664">
        <f>IF(A664="","",SUMIFS(Contributions!E:E,Contributions!B:B,A664))</f>
        <v/>
      </c>
      <c r="E664">
        <f>IF(OR(A664="",C664=""),"",C664-D664)</f>
        <v/>
      </c>
    </row>
    <row r="665">
      <c r="D665">
        <f>IF(A665="","",SUMIFS(Contributions!E:E,Contributions!B:B,A665))</f>
        <v/>
      </c>
      <c r="E665">
        <f>IF(OR(A665="",C665=""),"",C665-D665)</f>
        <v/>
      </c>
    </row>
    <row r="666">
      <c r="D666">
        <f>IF(A666="","",SUMIFS(Contributions!E:E,Contributions!B:B,A666))</f>
        <v/>
      </c>
      <c r="E666">
        <f>IF(OR(A666="",C666=""),"",C666-D666)</f>
        <v/>
      </c>
    </row>
    <row r="667">
      <c r="D667">
        <f>IF(A667="","",SUMIFS(Contributions!E:E,Contributions!B:B,A667))</f>
        <v/>
      </c>
      <c r="E667">
        <f>IF(OR(A667="",C667=""),"",C667-D667)</f>
        <v/>
      </c>
    </row>
    <row r="668">
      <c r="D668">
        <f>IF(A668="","",SUMIFS(Contributions!E:E,Contributions!B:B,A668))</f>
        <v/>
      </c>
      <c r="E668">
        <f>IF(OR(A668="",C668=""),"",C668-D668)</f>
        <v/>
      </c>
    </row>
    <row r="669">
      <c r="D669">
        <f>IF(A669="","",SUMIFS(Contributions!E:E,Contributions!B:B,A669))</f>
        <v/>
      </c>
      <c r="E669">
        <f>IF(OR(A669="",C669=""),"",C669-D669)</f>
        <v/>
      </c>
    </row>
    <row r="670">
      <c r="D670">
        <f>IF(A670="","",SUMIFS(Contributions!E:E,Contributions!B:B,A670))</f>
        <v/>
      </c>
      <c r="E670">
        <f>IF(OR(A670="",C670=""),"",C670-D670)</f>
        <v/>
      </c>
    </row>
    <row r="671">
      <c r="D671">
        <f>IF(A671="","",SUMIFS(Contributions!E:E,Contributions!B:B,A671))</f>
        <v/>
      </c>
      <c r="E671">
        <f>IF(OR(A671="",C671=""),"",C671-D671)</f>
        <v/>
      </c>
    </row>
    <row r="672">
      <c r="D672">
        <f>IF(A672="","",SUMIFS(Contributions!E:E,Contributions!B:B,A672))</f>
        <v/>
      </c>
      <c r="E672">
        <f>IF(OR(A672="",C672=""),"",C672-D672)</f>
        <v/>
      </c>
    </row>
    <row r="673">
      <c r="D673">
        <f>IF(A673="","",SUMIFS(Contributions!E:E,Contributions!B:B,A673))</f>
        <v/>
      </c>
      <c r="E673">
        <f>IF(OR(A673="",C673=""),"",C673-D673)</f>
        <v/>
      </c>
    </row>
    <row r="674">
      <c r="D674">
        <f>IF(A674="","",SUMIFS(Contributions!E:E,Contributions!B:B,A674))</f>
        <v/>
      </c>
      <c r="E674">
        <f>IF(OR(A674="",C674=""),"",C674-D674)</f>
        <v/>
      </c>
    </row>
    <row r="675">
      <c r="D675">
        <f>IF(A675="","",SUMIFS(Contributions!E:E,Contributions!B:B,A675))</f>
        <v/>
      </c>
      <c r="E675">
        <f>IF(OR(A675="",C675=""),"",C675-D675)</f>
        <v/>
      </c>
    </row>
    <row r="676">
      <c r="D676">
        <f>IF(A676="","",SUMIFS(Contributions!E:E,Contributions!B:B,A676))</f>
        <v/>
      </c>
      <c r="E676">
        <f>IF(OR(A676="",C676=""),"",C676-D676)</f>
        <v/>
      </c>
    </row>
    <row r="677">
      <c r="D677">
        <f>IF(A677="","",SUMIFS(Contributions!E:E,Contributions!B:B,A677))</f>
        <v/>
      </c>
      <c r="E677">
        <f>IF(OR(A677="",C677=""),"",C677-D677)</f>
        <v/>
      </c>
    </row>
    <row r="678">
      <c r="D678">
        <f>IF(A678="","",SUMIFS(Contributions!E:E,Contributions!B:B,A678))</f>
        <v/>
      </c>
      <c r="E678">
        <f>IF(OR(A678="",C678=""),"",C678-D678)</f>
        <v/>
      </c>
    </row>
    <row r="679">
      <c r="D679">
        <f>IF(A679="","",SUMIFS(Contributions!E:E,Contributions!B:B,A679))</f>
        <v/>
      </c>
      <c r="E679">
        <f>IF(OR(A679="",C679=""),"",C679-D679)</f>
        <v/>
      </c>
    </row>
    <row r="680">
      <c r="D680">
        <f>IF(A680="","",SUMIFS(Contributions!E:E,Contributions!B:B,A680))</f>
        <v/>
      </c>
      <c r="E680">
        <f>IF(OR(A680="",C680=""),"",C680-D680)</f>
        <v/>
      </c>
    </row>
    <row r="681">
      <c r="D681">
        <f>IF(A681="","",SUMIFS(Contributions!E:E,Contributions!B:B,A681))</f>
        <v/>
      </c>
      <c r="E681">
        <f>IF(OR(A681="",C681=""),"",C681-D681)</f>
        <v/>
      </c>
    </row>
    <row r="682">
      <c r="D682">
        <f>IF(A682="","",SUMIFS(Contributions!E:E,Contributions!B:B,A682))</f>
        <v/>
      </c>
      <c r="E682">
        <f>IF(OR(A682="",C682=""),"",C682-D682)</f>
        <v/>
      </c>
    </row>
    <row r="683">
      <c r="D683">
        <f>IF(A683="","",SUMIFS(Contributions!E:E,Contributions!B:B,A683))</f>
        <v/>
      </c>
      <c r="E683">
        <f>IF(OR(A683="",C683=""),"",C683-D683)</f>
        <v/>
      </c>
    </row>
    <row r="684">
      <c r="D684">
        <f>IF(A684="","",SUMIFS(Contributions!E:E,Contributions!B:B,A684))</f>
        <v/>
      </c>
      <c r="E684">
        <f>IF(OR(A684="",C684=""),"",C684-D684)</f>
        <v/>
      </c>
    </row>
    <row r="685">
      <c r="D685">
        <f>IF(A685="","",SUMIFS(Contributions!E:E,Contributions!B:B,A685))</f>
        <v/>
      </c>
      <c r="E685">
        <f>IF(OR(A685="",C685=""),"",C685-D685)</f>
        <v/>
      </c>
    </row>
    <row r="686">
      <c r="D686">
        <f>IF(A686="","",SUMIFS(Contributions!E:E,Contributions!B:B,A686))</f>
        <v/>
      </c>
      <c r="E686">
        <f>IF(OR(A686="",C686=""),"",C686-D686)</f>
        <v/>
      </c>
    </row>
    <row r="687">
      <c r="D687">
        <f>IF(A687="","",SUMIFS(Contributions!E:E,Contributions!B:B,A687))</f>
        <v/>
      </c>
      <c r="E687">
        <f>IF(OR(A687="",C687=""),"",C687-D687)</f>
        <v/>
      </c>
    </row>
    <row r="688">
      <c r="D688">
        <f>IF(A688="","",SUMIFS(Contributions!E:E,Contributions!B:B,A688))</f>
        <v/>
      </c>
      <c r="E688">
        <f>IF(OR(A688="",C688=""),"",C688-D688)</f>
        <v/>
      </c>
    </row>
    <row r="689">
      <c r="D689">
        <f>IF(A689="","",SUMIFS(Contributions!E:E,Contributions!B:B,A689))</f>
        <v/>
      </c>
      <c r="E689">
        <f>IF(OR(A689="",C689=""),"",C689-D689)</f>
        <v/>
      </c>
    </row>
    <row r="690">
      <c r="D690">
        <f>IF(A690="","",SUMIFS(Contributions!E:E,Contributions!B:B,A690))</f>
        <v/>
      </c>
      <c r="E690">
        <f>IF(OR(A690="",C690=""),"",C690-D690)</f>
        <v/>
      </c>
    </row>
    <row r="691">
      <c r="D691">
        <f>IF(A691="","",SUMIFS(Contributions!E:E,Contributions!B:B,A691))</f>
        <v/>
      </c>
      <c r="E691">
        <f>IF(OR(A691="",C691=""),"",C691-D691)</f>
        <v/>
      </c>
    </row>
    <row r="692">
      <c r="D692">
        <f>IF(A692="","",SUMIFS(Contributions!E:E,Contributions!B:B,A692))</f>
        <v/>
      </c>
      <c r="E692">
        <f>IF(OR(A692="",C692=""),"",C692-D692)</f>
        <v/>
      </c>
    </row>
    <row r="693">
      <c r="D693">
        <f>IF(A693="","",SUMIFS(Contributions!E:E,Contributions!B:B,A693))</f>
        <v/>
      </c>
      <c r="E693">
        <f>IF(OR(A693="",C693=""),"",C693-D693)</f>
        <v/>
      </c>
    </row>
    <row r="694">
      <c r="D694">
        <f>IF(A694="","",SUMIFS(Contributions!E:E,Contributions!B:B,A694))</f>
        <v/>
      </c>
      <c r="E694">
        <f>IF(OR(A694="",C694=""),"",C694-D694)</f>
        <v/>
      </c>
    </row>
    <row r="695">
      <c r="D695">
        <f>IF(A695="","",SUMIFS(Contributions!E:E,Contributions!B:B,A695))</f>
        <v/>
      </c>
      <c r="E695">
        <f>IF(OR(A695="",C695=""),"",C695-D695)</f>
        <v/>
      </c>
    </row>
    <row r="696">
      <c r="D696">
        <f>IF(A696="","",SUMIFS(Contributions!E:E,Contributions!B:B,A696))</f>
        <v/>
      </c>
      <c r="E696">
        <f>IF(OR(A696="",C696=""),"",C696-D696)</f>
        <v/>
      </c>
    </row>
    <row r="697">
      <c r="D697">
        <f>IF(A697="","",SUMIFS(Contributions!E:E,Contributions!B:B,A697))</f>
        <v/>
      </c>
      <c r="E697">
        <f>IF(OR(A697="",C697=""),"",C697-D697)</f>
        <v/>
      </c>
    </row>
    <row r="698">
      <c r="D698">
        <f>IF(A698="","",SUMIFS(Contributions!E:E,Contributions!B:B,A698))</f>
        <v/>
      </c>
      <c r="E698">
        <f>IF(OR(A698="",C698=""),"",C698-D698)</f>
        <v/>
      </c>
    </row>
    <row r="699">
      <c r="D699">
        <f>IF(A699="","",SUMIFS(Contributions!E:E,Contributions!B:B,A699))</f>
        <v/>
      </c>
      <c r="E699">
        <f>IF(OR(A699="",C699=""),"",C699-D699)</f>
        <v/>
      </c>
    </row>
    <row r="700">
      <c r="D700">
        <f>IF(A700="","",SUMIFS(Contributions!E:E,Contributions!B:B,A700))</f>
        <v/>
      </c>
      <c r="E700">
        <f>IF(OR(A700="",C700=""),"",C700-D700)</f>
        <v/>
      </c>
    </row>
    <row r="701">
      <c r="D701">
        <f>IF(A701="","",SUMIFS(Contributions!E:E,Contributions!B:B,A701))</f>
        <v/>
      </c>
      <c r="E701">
        <f>IF(OR(A701="",C701=""),"",C701-D701)</f>
        <v/>
      </c>
    </row>
    <row r="702">
      <c r="D702">
        <f>IF(A702="","",SUMIFS(Contributions!E:E,Contributions!B:B,A702))</f>
        <v/>
      </c>
      <c r="E702">
        <f>IF(OR(A702="",C702=""),"",C702-D702)</f>
        <v/>
      </c>
    </row>
    <row r="703">
      <c r="D703">
        <f>IF(A703="","",SUMIFS(Contributions!E:E,Contributions!B:B,A703))</f>
        <v/>
      </c>
      <c r="E703">
        <f>IF(OR(A703="",C703=""),"",C703-D703)</f>
        <v/>
      </c>
    </row>
    <row r="704">
      <c r="D704">
        <f>IF(A704="","",SUMIFS(Contributions!E:E,Contributions!B:B,A704))</f>
        <v/>
      </c>
      <c r="E704">
        <f>IF(OR(A704="",C704=""),"",C704-D704)</f>
        <v/>
      </c>
    </row>
    <row r="705">
      <c r="D705">
        <f>IF(A705="","",SUMIFS(Contributions!E:E,Contributions!B:B,A705))</f>
        <v/>
      </c>
      <c r="E705">
        <f>IF(OR(A705="",C705=""),"",C705-D705)</f>
        <v/>
      </c>
    </row>
    <row r="706">
      <c r="D706">
        <f>IF(A706="","",SUMIFS(Contributions!E:E,Contributions!B:B,A706))</f>
        <v/>
      </c>
      <c r="E706">
        <f>IF(OR(A706="",C706=""),"",C706-D706)</f>
        <v/>
      </c>
    </row>
    <row r="707">
      <c r="D707">
        <f>IF(A707="","",SUMIFS(Contributions!E:E,Contributions!B:B,A707))</f>
        <v/>
      </c>
      <c r="E707">
        <f>IF(OR(A707="",C707=""),"",C707-D707)</f>
        <v/>
      </c>
    </row>
    <row r="708">
      <c r="D708">
        <f>IF(A708="","",SUMIFS(Contributions!E:E,Contributions!B:B,A708))</f>
        <v/>
      </c>
      <c r="E708">
        <f>IF(OR(A708="",C708=""),"",C708-D708)</f>
        <v/>
      </c>
    </row>
    <row r="709">
      <c r="D709">
        <f>IF(A709="","",SUMIFS(Contributions!E:E,Contributions!B:B,A709))</f>
        <v/>
      </c>
      <c r="E709">
        <f>IF(OR(A709="",C709=""),"",C709-D709)</f>
        <v/>
      </c>
    </row>
    <row r="710">
      <c r="D710">
        <f>IF(A710="","",SUMIFS(Contributions!E:E,Contributions!B:B,A710))</f>
        <v/>
      </c>
      <c r="E710">
        <f>IF(OR(A710="",C710=""),"",C710-D710)</f>
        <v/>
      </c>
    </row>
    <row r="711">
      <c r="D711">
        <f>IF(A711="","",SUMIFS(Contributions!E:E,Contributions!B:B,A711))</f>
        <v/>
      </c>
      <c r="E711">
        <f>IF(OR(A711="",C711=""),"",C711-D711)</f>
        <v/>
      </c>
    </row>
    <row r="712">
      <c r="D712">
        <f>IF(A712="","",SUMIFS(Contributions!E:E,Contributions!B:B,A712))</f>
        <v/>
      </c>
      <c r="E712">
        <f>IF(OR(A712="",C712=""),"",C712-D712)</f>
        <v/>
      </c>
    </row>
    <row r="713">
      <c r="D713">
        <f>IF(A713="","",SUMIFS(Contributions!E:E,Contributions!B:B,A713))</f>
        <v/>
      </c>
      <c r="E713">
        <f>IF(OR(A713="",C713=""),"",C713-D713)</f>
        <v/>
      </c>
    </row>
    <row r="714">
      <c r="D714">
        <f>IF(A714="","",SUMIFS(Contributions!E:E,Contributions!B:B,A714))</f>
        <v/>
      </c>
      <c r="E714">
        <f>IF(OR(A714="",C714=""),"",C714-D714)</f>
        <v/>
      </c>
    </row>
    <row r="715">
      <c r="D715">
        <f>IF(A715="","",SUMIFS(Contributions!E:E,Contributions!B:B,A715))</f>
        <v/>
      </c>
      <c r="E715">
        <f>IF(OR(A715="",C715=""),"",C715-D715)</f>
        <v/>
      </c>
    </row>
    <row r="716">
      <c r="D716">
        <f>IF(A716="","",SUMIFS(Contributions!E:E,Contributions!B:B,A716))</f>
        <v/>
      </c>
      <c r="E716">
        <f>IF(OR(A716="",C716=""),"",C716-D716)</f>
        <v/>
      </c>
    </row>
    <row r="717">
      <c r="D717">
        <f>IF(A717="","",SUMIFS(Contributions!E:E,Contributions!B:B,A717))</f>
        <v/>
      </c>
      <c r="E717">
        <f>IF(OR(A717="",C717=""),"",C717-D717)</f>
        <v/>
      </c>
    </row>
    <row r="718">
      <c r="D718">
        <f>IF(A718="","",SUMIFS(Contributions!E:E,Contributions!B:B,A718))</f>
        <v/>
      </c>
      <c r="E718">
        <f>IF(OR(A718="",C718=""),"",C718-D718)</f>
        <v/>
      </c>
    </row>
    <row r="719">
      <c r="D719">
        <f>IF(A719="","",SUMIFS(Contributions!E:E,Contributions!B:B,A719))</f>
        <v/>
      </c>
      <c r="E719">
        <f>IF(OR(A719="",C719=""),"",C719-D719)</f>
        <v/>
      </c>
    </row>
    <row r="720">
      <c r="D720">
        <f>IF(A720="","",SUMIFS(Contributions!E:E,Contributions!B:B,A720))</f>
        <v/>
      </c>
      <c r="E720">
        <f>IF(OR(A720="",C720=""),"",C720-D720)</f>
        <v/>
      </c>
    </row>
    <row r="721">
      <c r="D721">
        <f>IF(A721="","",SUMIFS(Contributions!E:E,Contributions!B:B,A721))</f>
        <v/>
      </c>
      <c r="E721">
        <f>IF(OR(A721="",C721=""),"",C721-D721)</f>
        <v/>
      </c>
    </row>
    <row r="722">
      <c r="D722">
        <f>IF(A722="","",SUMIFS(Contributions!E:E,Contributions!B:B,A722))</f>
        <v/>
      </c>
      <c r="E722">
        <f>IF(OR(A722="",C722=""),"",C722-D722)</f>
        <v/>
      </c>
    </row>
    <row r="723">
      <c r="D723">
        <f>IF(A723="","",SUMIFS(Contributions!E:E,Contributions!B:B,A723))</f>
        <v/>
      </c>
      <c r="E723">
        <f>IF(OR(A723="",C723=""),"",C723-D723)</f>
        <v/>
      </c>
    </row>
    <row r="724">
      <c r="D724">
        <f>IF(A724="","",SUMIFS(Contributions!E:E,Contributions!B:B,A724))</f>
        <v/>
      </c>
      <c r="E724">
        <f>IF(OR(A724="",C724=""),"",C724-D724)</f>
        <v/>
      </c>
    </row>
    <row r="725">
      <c r="D725">
        <f>IF(A725="","",SUMIFS(Contributions!E:E,Contributions!B:B,A725))</f>
        <v/>
      </c>
      <c r="E725">
        <f>IF(OR(A725="",C725=""),"",C725-D725)</f>
        <v/>
      </c>
    </row>
    <row r="726">
      <c r="D726">
        <f>IF(A726="","",SUMIFS(Contributions!E:E,Contributions!B:B,A726))</f>
        <v/>
      </c>
      <c r="E726">
        <f>IF(OR(A726="",C726=""),"",C726-D726)</f>
        <v/>
      </c>
    </row>
    <row r="727">
      <c r="D727">
        <f>IF(A727="","",SUMIFS(Contributions!E:E,Contributions!B:B,A727))</f>
        <v/>
      </c>
      <c r="E727">
        <f>IF(OR(A727="",C727=""),"",C727-D727)</f>
        <v/>
      </c>
    </row>
    <row r="728">
      <c r="D728">
        <f>IF(A728="","",SUMIFS(Contributions!E:E,Contributions!B:B,A728))</f>
        <v/>
      </c>
      <c r="E728">
        <f>IF(OR(A728="",C728=""),"",C728-D728)</f>
        <v/>
      </c>
    </row>
    <row r="729">
      <c r="D729">
        <f>IF(A729="","",SUMIFS(Contributions!E:E,Contributions!B:B,A729))</f>
        <v/>
      </c>
      <c r="E729">
        <f>IF(OR(A729="",C729=""),"",C729-D729)</f>
        <v/>
      </c>
    </row>
    <row r="730">
      <c r="D730">
        <f>IF(A730="","",SUMIFS(Contributions!E:E,Contributions!B:B,A730))</f>
        <v/>
      </c>
      <c r="E730">
        <f>IF(OR(A730="",C730=""),"",C730-D730)</f>
        <v/>
      </c>
    </row>
    <row r="731">
      <c r="D731">
        <f>IF(A731="","",SUMIFS(Contributions!E:E,Contributions!B:B,A731))</f>
        <v/>
      </c>
      <c r="E731">
        <f>IF(OR(A731="",C731=""),"",C731-D731)</f>
        <v/>
      </c>
    </row>
    <row r="732">
      <c r="D732">
        <f>IF(A732="","",SUMIFS(Contributions!E:E,Contributions!B:B,A732))</f>
        <v/>
      </c>
      <c r="E732">
        <f>IF(OR(A732="",C732=""),"",C732-D732)</f>
        <v/>
      </c>
    </row>
    <row r="733">
      <c r="D733">
        <f>IF(A733="","",SUMIFS(Contributions!E:E,Contributions!B:B,A733))</f>
        <v/>
      </c>
      <c r="E733">
        <f>IF(OR(A733="",C733=""),"",C733-D733)</f>
        <v/>
      </c>
    </row>
    <row r="734">
      <c r="D734">
        <f>IF(A734="","",SUMIFS(Contributions!E:E,Contributions!B:B,A734))</f>
        <v/>
      </c>
      <c r="E734">
        <f>IF(OR(A734="",C734=""),"",C734-D734)</f>
        <v/>
      </c>
    </row>
    <row r="735">
      <c r="D735">
        <f>IF(A735="","",SUMIFS(Contributions!E:E,Contributions!B:B,A735))</f>
        <v/>
      </c>
      <c r="E735">
        <f>IF(OR(A735="",C735=""),"",C735-D735)</f>
        <v/>
      </c>
    </row>
    <row r="736">
      <c r="D736">
        <f>IF(A736="","",SUMIFS(Contributions!E:E,Contributions!B:B,A736))</f>
        <v/>
      </c>
      <c r="E736">
        <f>IF(OR(A736="",C736=""),"",C736-D736)</f>
        <v/>
      </c>
    </row>
    <row r="737">
      <c r="D737">
        <f>IF(A737="","",SUMIFS(Contributions!E:E,Contributions!B:B,A737))</f>
        <v/>
      </c>
      <c r="E737">
        <f>IF(OR(A737="",C737=""),"",C737-D737)</f>
        <v/>
      </c>
    </row>
    <row r="738">
      <c r="D738">
        <f>IF(A738="","",SUMIFS(Contributions!E:E,Contributions!B:B,A738))</f>
        <v/>
      </c>
      <c r="E738">
        <f>IF(OR(A738="",C738=""),"",C738-D738)</f>
        <v/>
      </c>
    </row>
    <row r="739">
      <c r="D739">
        <f>IF(A739="","",SUMIFS(Contributions!E:E,Contributions!B:B,A739))</f>
        <v/>
      </c>
      <c r="E739">
        <f>IF(OR(A739="",C739=""),"",C739-D739)</f>
        <v/>
      </c>
    </row>
    <row r="740">
      <c r="D740">
        <f>IF(A740="","",SUMIFS(Contributions!E:E,Contributions!B:B,A740))</f>
        <v/>
      </c>
      <c r="E740">
        <f>IF(OR(A740="",C740=""),"",C740-D740)</f>
        <v/>
      </c>
    </row>
    <row r="741">
      <c r="D741">
        <f>IF(A741="","",SUMIFS(Contributions!E:E,Contributions!B:B,A741))</f>
        <v/>
      </c>
      <c r="E741">
        <f>IF(OR(A741="",C741=""),"",C741-D741)</f>
        <v/>
      </c>
    </row>
    <row r="742">
      <c r="D742">
        <f>IF(A742="","",SUMIFS(Contributions!E:E,Contributions!B:B,A742))</f>
        <v/>
      </c>
      <c r="E742">
        <f>IF(OR(A742="",C742=""),"",C742-D742)</f>
        <v/>
      </c>
    </row>
    <row r="743">
      <c r="D743">
        <f>IF(A743="","",SUMIFS(Contributions!E:E,Contributions!B:B,A743))</f>
        <v/>
      </c>
      <c r="E743">
        <f>IF(OR(A743="",C743=""),"",C743-D743)</f>
        <v/>
      </c>
    </row>
    <row r="744">
      <c r="D744">
        <f>IF(A744="","",SUMIFS(Contributions!E:E,Contributions!B:B,A744))</f>
        <v/>
      </c>
      <c r="E744">
        <f>IF(OR(A744="",C744=""),"",C744-D744)</f>
        <v/>
      </c>
    </row>
    <row r="745">
      <c r="D745">
        <f>IF(A745="","",SUMIFS(Contributions!E:E,Contributions!B:B,A745))</f>
        <v/>
      </c>
      <c r="E745">
        <f>IF(OR(A745="",C745=""),"",C745-D745)</f>
        <v/>
      </c>
    </row>
    <row r="746">
      <c r="D746">
        <f>IF(A746="","",SUMIFS(Contributions!E:E,Contributions!B:B,A746))</f>
        <v/>
      </c>
      <c r="E746">
        <f>IF(OR(A746="",C746=""),"",C746-D746)</f>
        <v/>
      </c>
    </row>
    <row r="747">
      <c r="D747">
        <f>IF(A747="","",SUMIFS(Contributions!E:E,Contributions!B:B,A747))</f>
        <v/>
      </c>
      <c r="E747">
        <f>IF(OR(A747="",C747=""),"",C747-D747)</f>
        <v/>
      </c>
    </row>
    <row r="748">
      <c r="D748">
        <f>IF(A748="","",SUMIFS(Contributions!E:E,Contributions!B:B,A748))</f>
        <v/>
      </c>
      <c r="E748">
        <f>IF(OR(A748="",C748=""),"",C748-D748)</f>
        <v/>
      </c>
    </row>
    <row r="749">
      <c r="D749">
        <f>IF(A749="","",SUMIFS(Contributions!E:E,Contributions!B:B,A749))</f>
        <v/>
      </c>
      <c r="E749">
        <f>IF(OR(A749="",C749=""),"",C749-D749)</f>
        <v/>
      </c>
    </row>
    <row r="750">
      <c r="D750">
        <f>IF(A750="","",SUMIFS(Contributions!E:E,Contributions!B:B,A750))</f>
        <v/>
      </c>
      <c r="E750">
        <f>IF(OR(A750="",C750=""),"",C750-D750)</f>
        <v/>
      </c>
    </row>
    <row r="751">
      <c r="D751">
        <f>IF(A751="","",SUMIFS(Contributions!E:E,Contributions!B:B,A751))</f>
        <v/>
      </c>
      <c r="E751">
        <f>IF(OR(A751="",C751=""),"",C751-D751)</f>
        <v/>
      </c>
    </row>
    <row r="752">
      <c r="D752">
        <f>IF(A752="","",SUMIFS(Contributions!E:E,Contributions!B:B,A752))</f>
        <v/>
      </c>
      <c r="E752">
        <f>IF(OR(A752="",C752=""),"",C752-D752)</f>
        <v/>
      </c>
    </row>
    <row r="753">
      <c r="D753">
        <f>IF(A753="","",SUMIFS(Contributions!E:E,Contributions!B:B,A753))</f>
        <v/>
      </c>
      <c r="E753">
        <f>IF(OR(A753="",C753=""),"",C753-D753)</f>
        <v/>
      </c>
    </row>
    <row r="754">
      <c r="D754">
        <f>IF(A754="","",SUMIFS(Contributions!E:E,Contributions!B:B,A754))</f>
        <v/>
      </c>
      <c r="E754">
        <f>IF(OR(A754="",C754=""),"",C754-D754)</f>
        <v/>
      </c>
    </row>
    <row r="755">
      <c r="D755">
        <f>IF(A755="","",SUMIFS(Contributions!E:E,Contributions!B:B,A755))</f>
        <v/>
      </c>
      <c r="E755">
        <f>IF(OR(A755="",C755=""),"",C755-D755)</f>
        <v/>
      </c>
    </row>
    <row r="756">
      <c r="D756">
        <f>IF(A756="","",SUMIFS(Contributions!E:E,Contributions!B:B,A756))</f>
        <v/>
      </c>
      <c r="E756">
        <f>IF(OR(A756="",C756=""),"",C756-D756)</f>
        <v/>
      </c>
    </row>
    <row r="757">
      <c r="D757">
        <f>IF(A757="","",SUMIFS(Contributions!E:E,Contributions!B:B,A757))</f>
        <v/>
      </c>
      <c r="E757">
        <f>IF(OR(A757="",C757=""),"",C757-D757)</f>
        <v/>
      </c>
    </row>
    <row r="758">
      <c r="D758">
        <f>IF(A758="","",SUMIFS(Contributions!E:E,Contributions!B:B,A758))</f>
        <v/>
      </c>
      <c r="E758">
        <f>IF(OR(A758="",C758=""),"",C758-D758)</f>
        <v/>
      </c>
    </row>
    <row r="759">
      <c r="D759">
        <f>IF(A759="","",SUMIFS(Contributions!E:E,Contributions!B:B,A759))</f>
        <v/>
      </c>
      <c r="E759">
        <f>IF(OR(A759="",C759=""),"",C759-D759)</f>
        <v/>
      </c>
    </row>
    <row r="760">
      <c r="D760">
        <f>IF(A760="","",SUMIFS(Contributions!E:E,Contributions!B:B,A760))</f>
        <v/>
      </c>
      <c r="E760">
        <f>IF(OR(A760="",C760=""),"",C760-D760)</f>
        <v/>
      </c>
    </row>
    <row r="761">
      <c r="D761">
        <f>IF(A761="","",SUMIFS(Contributions!E:E,Contributions!B:B,A761))</f>
        <v/>
      </c>
      <c r="E761">
        <f>IF(OR(A761="",C761=""),"",C761-D761)</f>
        <v/>
      </c>
    </row>
    <row r="762">
      <c r="D762">
        <f>IF(A762="","",SUMIFS(Contributions!E:E,Contributions!B:B,A762))</f>
        <v/>
      </c>
      <c r="E762">
        <f>IF(OR(A762="",C762=""),"",C762-D762)</f>
        <v/>
      </c>
    </row>
    <row r="763">
      <c r="D763">
        <f>IF(A763="","",SUMIFS(Contributions!E:E,Contributions!B:B,A763))</f>
        <v/>
      </c>
      <c r="E763">
        <f>IF(OR(A763="",C763=""),"",C763-D763)</f>
        <v/>
      </c>
    </row>
    <row r="764">
      <c r="D764">
        <f>IF(A764="","",SUMIFS(Contributions!E:E,Contributions!B:B,A764))</f>
        <v/>
      </c>
      <c r="E764">
        <f>IF(OR(A764="",C764=""),"",C764-D764)</f>
        <v/>
      </c>
    </row>
    <row r="765">
      <c r="D765">
        <f>IF(A765="","",SUMIFS(Contributions!E:E,Contributions!B:B,A765))</f>
        <v/>
      </c>
      <c r="E765">
        <f>IF(OR(A765="",C765=""),"",C765-D765)</f>
        <v/>
      </c>
    </row>
    <row r="766">
      <c r="D766">
        <f>IF(A766="","",SUMIFS(Contributions!E:E,Contributions!B:B,A766))</f>
        <v/>
      </c>
      <c r="E766">
        <f>IF(OR(A766="",C766=""),"",C766-D766)</f>
        <v/>
      </c>
    </row>
    <row r="767">
      <c r="D767">
        <f>IF(A767="","",SUMIFS(Contributions!E:E,Contributions!B:B,A767))</f>
        <v/>
      </c>
      <c r="E767">
        <f>IF(OR(A767="",C767=""),"",C767-D767)</f>
        <v/>
      </c>
    </row>
    <row r="768">
      <c r="D768">
        <f>IF(A768="","",SUMIFS(Contributions!E:E,Contributions!B:B,A768))</f>
        <v/>
      </c>
      <c r="E768">
        <f>IF(OR(A768="",C768=""),"",C768-D768)</f>
        <v/>
      </c>
    </row>
    <row r="769">
      <c r="D769">
        <f>IF(A769="","",SUMIFS(Contributions!E:E,Contributions!B:B,A769))</f>
        <v/>
      </c>
      <c r="E769">
        <f>IF(OR(A769="",C769=""),"",C769-D769)</f>
        <v/>
      </c>
    </row>
    <row r="770">
      <c r="D770">
        <f>IF(A770="","",SUMIFS(Contributions!E:E,Contributions!B:B,A770))</f>
        <v/>
      </c>
      <c r="E770">
        <f>IF(OR(A770="",C770=""),"",C770-D770)</f>
        <v/>
      </c>
    </row>
    <row r="771">
      <c r="D771">
        <f>IF(A771="","",SUMIFS(Contributions!E:E,Contributions!B:B,A771))</f>
        <v/>
      </c>
      <c r="E771">
        <f>IF(OR(A771="",C771=""),"",C771-D771)</f>
        <v/>
      </c>
    </row>
    <row r="772">
      <c r="D772">
        <f>IF(A772="","",SUMIFS(Contributions!E:E,Contributions!B:B,A772))</f>
        <v/>
      </c>
      <c r="E772">
        <f>IF(OR(A772="",C772=""),"",C772-D772)</f>
        <v/>
      </c>
    </row>
    <row r="773">
      <c r="D773">
        <f>IF(A773="","",SUMIFS(Contributions!E:E,Contributions!B:B,A773))</f>
        <v/>
      </c>
      <c r="E773">
        <f>IF(OR(A773="",C773=""),"",C773-D773)</f>
        <v/>
      </c>
    </row>
    <row r="774">
      <c r="D774">
        <f>IF(A774="","",SUMIFS(Contributions!E:E,Contributions!B:B,A774))</f>
        <v/>
      </c>
      <c r="E774">
        <f>IF(OR(A774="",C774=""),"",C774-D774)</f>
        <v/>
      </c>
    </row>
    <row r="775">
      <c r="D775">
        <f>IF(A775="","",SUMIFS(Contributions!E:E,Contributions!B:B,A775))</f>
        <v/>
      </c>
      <c r="E775">
        <f>IF(OR(A775="",C775=""),"",C775-D775)</f>
        <v/>
      </c>
    </row>
    <row r="776">
      <c r="D776">
        <f>IF(A776="","",SUMIFS(Contributions!E:E,Contributions!B:B,A776))</f>
        <v/>
      </c>
      <c r="E776">
        <f>IF(OR(A776="",C776=""),"",C776-D776)</f>
        <v/>
      </c>
    </row>
    <row r="777">
      <c r="D777">
        <f>IF(A777="","",SUMIFS(Contributions!E:E,Contributions!B:B,A777))</f>
        <v/>
      </c>
      <c r="E777">
        <f>IF(OR(A777="",C777=""),"",C777-D777)</f>
        <v/>
      </c>
    </row>
    <row r="778">
      <c r="D778">
        <f>IF(A778="","",SUMIFS(Contributions!E:E,Contributions!B:B,A778))</f>
        <v/>
      </c>
      <c r="E778">
        <f>IF(OR(A778="",C778=""),"",C778-D778)</f>
        <v/>
      </c>
    </row>
    <row r="779">
      <c r="D779">
        <f>IF(A779="","",SUMIFS(Contributions!E:E,Contributions!B:B,A779))</f>
        <v/>
      </c>
      <c r="E779">
        <f>IF(OR(A779="",C779=""),"",C779-D779)</f>
        <v/>
      </c>
    </row>
    <row r="780">
      <c r="D780">
        <f>IF(A780="","",SUMIFS(Contributions!E:E,Contributions!B:B,A780))</f>
        <v/>
      </c>
      <c r="E780">
        <f>IF(OR(A780="",C780=""),"",C780-D780)</f>
        <v/>
      </c>
    </row>
    <row r="781">
      <c r="D781">
        <f>IF(A781="","",SUMIFS(Contributions!E:E,Contributions!B:B,A781))</f>
        <v/>
      </c>
      <c r="E781">
        <f>IF(OR(A781="",C781=""),"",C781-D781)</f>
        <v/>
      </c>
    </row>
    <row r="782">
      <c r="D782">
        <f>IF(A782="","",SUMIFS(Contributions!E:E,Contributions!B:B,A782))</f>
        <v/>
      </c>
      <c r="E782">
        <f>IF(OR(A782="",C782=""),"",C782-D782)</f>
        <v/>
      </c>
    </row>
    <row r="783">
      <c r="D783">
        <f>IF(A783="","",SUMIFS(Contributions!E:E,Contributions!B:B,A783))</f>
        <v/>
      </c>
      <c r="E783">
        <f>IF(OR(A783="",C783=""),"",C783-D783)</f>
        <v/>
      </c>
    </row>
    <row r="784">
      <c r="D784">
        <f>IF(A784="","",SUMIFS(Contributions!E:E,Contributions!B:B,A784))</f>
        <v/>
      </c>
      <c r="E784">
        <f>IF(OR(A784="",C784=""),"",C784-D784)</f>
        <v/>
      </c>
    </row>
    <row r="785">
      <c r="D785">
        <f>IF(A785="","",SUMIFS(Contributions!E:E,Contributions!B:B,A785))</f>
        <v/>
      </c>
      <c r="E785">
        <f>IF(OR(A785="",C785=""),"",C785-D785)</f>
        <v/>
      </c>
    </row>
    <row r="786">
      <c r="D786">
        <f>IF(A786="","",SUMIFS(Contributions!E:E,Contributions!B:B,A786))</f>
        <v/>
      </c>
      <c r="E786">
        <f>IF(OR(A786="",C786=""),"",C786-D786)</f>
        <v/>
      </c>
    </row>
    <row r="787">
      <c r="D787">
        <f>IF(A787="","",SUMIFS(Contributions!E:E,Contributions!B:B,A787))</f>
        <v/>
      </c>
      <c r="E787">
        <f>IF(OR(A787="",C787=""),"",C787-D787)</f>
        <v/>
      </c>
    </row>
    <row r="788">
      <c r="D788">
        <f>IF(A788="","",SUMIFS(Contributions!E:E,Contributions!B:B,A788))</f>
        <v/>
      </c>
      <c r="E788">
        <f>IF(OR(A788="",C788=""),"",C788-D788)</f>
        <v/>
      </c>
    </row>
    <row r="789">
      <c r="D789">
        <f>IF(A789="","",SUMIFS(Contributions!E:E,Contributions!B:B,A789))</f>
        <v/>
      </c>
      <c r="E789">
        <f>IF(OR(A789="",C789=""),"",C789-D789)</f>
        <v/>
      </c>
    </row>
    <row r="790">
      <c r="D790">
        <f>IF(A790="","",SUMIFS(Contributions!E:E,Contributions!B:B,A790))</f>
        <v/>
      </c>
      <c r="E790">
        <f>IF(OR(A790="",C790=""),"",C790-D790)</f>
        <v/>
      </c>
    </row>
    <row r="791">
      <c r="D791">
        <f>IF(A791="","",SUMIFS(Contributions!E:E,Contributions!B:B,A791))</f>
        <v/>
      </c>
      <c r="E791">
        <f>IF(OR(A791="",C791=""),"",C791-D791)</f>
        <v/>
      </c>
    </row>
    <row r="792">
      <c r="D792">
        <f>IF(A792="","",SUMIFS(Contributions!E:E,Contributions!B:B,A792))</f>
        <v/>
      </c>
      <c r="E792">
        <f>IF(OR(A792="",C792=""),"",C792-D792)</f>
        <v/>
      </c>
    </row>
    <row r="793">
      <c r="D793">
        <f>IF(A793="","",SUMIFS(Contributions!E:E,Contributions!B:B,A793))</f>
        <v/>
      </c>
      <c r="E793">
        <f>IF(OR(A793="",C793=""),"",C793-D793)</f>
        <v/>
      </c>
    </row>
    <row r="794">
      <c r="D794">
        <f>IF(A794="","",SUMIFS(Contributions!E:E,Contributions!B:B,A794))</f>
        <v/>
      </c>
      <c r="E794">
        <f>IF(OR(A794="",C794=""),"",C794-D794)</f>
        <v/>
      </c>
    </row>
    <row r="795">
      <c r="D795">
        <f>IF(A795="","",SUMIFS(Contributions!E:E,Contributions!B:B,A795))</f>
        <v/>
      </c>
      <c r="E795">
        <f>IF(OR(A795="",C795=""),"",C795-D795)</f>
        <v/>
      </c>
    </row>
    <row r="796">
      <c r="D796">
        <f>IF(A796="","",SUMIFS(Contributions!E:E,Contributions!B:B,A796))</f>
        <v/>
      </c>
      <c r="E796">
        <f>IF(OR(A796="",C796=""),"",C796-D796)</f>
        <v/>
      </c>
    </row>
    <row r="797">
      <c r="D797">
        <f>IF(A797="","",SUMIFS(Contributions!E:E,Contributions!B:B,A797))</f>
        <v/>
      </c>
      <c r="E797">
        <f>IF(OR(A797="",C797=""),"",C797-D797)</f>
        <v/>
      </c>
    </row>
    <row r="798">
      <c r="D798">
        <f>IF(A798="","",SUMIFS(Contributions!E:E,Contributions!B:B,A798))</f>
        <v/>
      </c>
      <c r="E798">
        <f>IF(OR(A798="",C798=""),"",C798-D798)</f>
        <v/>
      </c>
    </row>
    <row r="799">
      <c r="D799">
        <f>IF(A799="","",SUMIFS(Contributions!E:E,Contributions!B:B,A799))</f>
        <v/>
      </c>
      <c r="E799">
        <f>IF(OR(A799="",C799=""),"",C799-D799)</f>
        <v/>
      </c>
    </row>
    <row r="800">
      <c r="D800">
        <f>IF(A800="","",SUMIFS(Contributions!E:E,Contributions!B:B,A800))</f>
        <v/>
      </c>
      <c r="E800">
        <f>IF(OR(A800="",C800=""),"",C800-D800)</f>
        <v/>
      </c>
    </row>
    <row r="801">
      <c r="D801">
        <f>IF(A801="","",SUMIFS(Contributions!E:E,Contributions!B:B,A801))</f>
        <v/>
      </c>
      <c r="E801">
        <f>IF(OR(A801="",C801=""),"",C801-D801)</f>
        <v/>
      </c>
    </row>
    <row r="802">
      <c r="D802">
        <f>IF(A802="","",SUMIFS(Contributions!E:E,Contributions!B:B,A802))</f>
        <v/>
      </c>
      <c r="E802">
        <f>IF(OR(A802="",C802=""),"",C802-D802)</f>
        <v/>
      </c>
    </row>
    <row r="803">
      <c r="D803">
        <f>IF(A803="","",SUMIFS(Contributions!E:E,Contributions!B:B,A803))</f>
        <v/>
      </c>
      <c r="E803">
        <f>IF(OR(A803="",C803=""),"",C803-D803)</f>
        <v/>
      </c>
    </row>
    <row r="804">
      <c r="D804">
        <f>IF(A804="","",SUMIFS(Contributions!E:E,Contributions!B:B,A804))</f>
        <v/>
      </c>
      <c r="E804">
        <f>IF(OR(A804="",C804=""),"",C804-D804)</f>
        <v/>
      </c>
    </row>
    <row r="805">
      <c r="D805">
        <f>IF(A805="","",SUMIFS(Contributions!E:E,Contributions!B:B,A805))</f>
        <v/>
      </c>
      <c r="E805">
        <f>IF(OR(A805="",C805=""),"",C805-D805)</f>
        <v/>
      </c>
    </row>
    <row r="806">
      <c r="D806">
        <f>IF(A806="","",SUMIFS(Contributions!E:E,Contributions!B:B,A806))</f>
        <v/>
      </c>
      <c r="E806">
        <f>IF(OR(A806="",C806=""),"",C806-D806)</f>
        <v/>
      </c>
    </row>
    <row r="807">
      <c r="D807">
        <f>IF(A807="","",SUMIFS(Contributions!E:E,Contributions!B:B,A807))</f>
        <v/>
      </c>
      <c r="E807">
        <f>IF(OR(A807="",C807=""),"",C807-D807)</f>
        <v/>
      </c>
    </row>
    <row r="808">
      <c r="D808">
        <f>IF(A808="","",SUMIFS(Contributions!E:E,Contributions!B:B,A808))</f>
        <v/>
      </c>
      <c r="E808">
        <f>IF(OR(A808="",C808=""),"",C808-D808)</f>
        <v/>
      </c>
    </row>
    <row r="809">
      <c r="D809">
        <f>IF(A809="","",SUMIFS(Contributions!E:E,Contributions!B:B,A809))</f>
        <v/>
      </c>
      <c r="E809">
        <f>IF(OR(A809="",C809=""),"",C809-D809)</f>
        <v/>
      </c>
    </row>
    <row r="810">
      <c r="D810">
        <f>IF(A810="","",SUMIFS(Contributions!E:E,Contributions!B:B,A810))</f>
        <v/>
      </c>
      <c r="E810">
        <f>IF(OR(A810="",C810=""),"",C810-D810)</f>
        <v/>
      </c>
    </row>
    <row r="811">
      <c r="D811">
        <f>IF(A811="","",SUMIFS(Contributions!E:E,Contributions!B:B,A811))</f>
        <v/>
      </c>
      <c r="E811">
        <f>IF(OR(A811="",C811=""),"",C811-D811)</f>
        <v/>
      </c>
    </row>
    <row r="812">
      <c r="D812">
        <f>IF(A812="","",SUMIFS(Contributions!E:E,Contributions!B:B,A812))</f>
        <v/>
      </c>
      <c r="E812">
        <f>IF(OR(A812="",C812=""),"",C812-D812)</f>
        <v/>
      </c>
    </row>
    <row r="813">
      <c r="D813">
        <f>IF(A813="","",SUMIFS(Contributions!E:E,Contributions!B:B,A813))</f>
        <v/>
      </c>
      <c r="E813">
        <f>IF(OR(A813="",C813=""),"",C813-D813)</f>
        <v/>
      </c>
    </row>
    <row r="814">
      <c r="D814">
        <f>IF(A814="","",SUMIFS(Contributions!E:E,Contributions!B:B,A814))</f>
        <v/>
      </c>
      <c r="E814">
        <f>IF(OR(A814="",C814=""),"",C814-D814)</f>
        <v/>
      </c>
    </row>
    <row r="815">
      <c r="D815">
        <f>IF(A815="","",SUMIFS(Contributions!E:E,Contributions!B:B,A815))</f>
        <v/>
      </c>
      <c r="E815">
        <f>IF(OR(A815="",C815=""),"",C815-D815)</f>
        <v/>
      </c>
    </row>
    <row r="816">
      <c r="D816">
        <f>IF(A816="","",SUMIFS(Contributions!E:E,Contributions!B:B,A816))</f>
        <v/>
      </c>
      <c r="E816">
        <f>IF(OR(A816="",C816=""),"",C816-D816)</f>
        <v/>
      </c>
    </row>
    <row r="817">
      <c r="D817">
        <f>IF(A817="","",SUMIFS(Contributions!E:E,Contributions!B:B,A817))</f>
        <v/>
      </c>
      <c r="E817">
        <f>IF(OR(A817="",C817=""),"",C817-D817)</f>
        <v/>
      </c>
    </row>
    <row r="818">
      <c r="D818">
        <f>IF(A818="","",SUMIFS(Contributions!E:E,Contributions!B:B,A818))</f>
        <v/>
      </c>
      <c r="E818">
        <f>IF(OR(A818="",C818=""),"",C818-D818)</f>
        <v/>
      </c>
    </row>
    <row r="819">
      <c r="D819">
        <f>IF(A819="","",SUMIFS(Contributions!E:E,Contributions!B:B,A819))</f>
        <v/>
      </c>
      <c r="E819">
        <f>IF(OR(A819="",C819=""),"",C819-D819)</f>
        <v/>
      </c>
    </row>
    <row r="820">
      <c r="D820">
        <f>IF(A820="","",SUMIFS(Contributions!E:E,Contributions!B:B,A820))</f>
        <v/>
      </c>
      <c r="E820">
        <f>IF(OR(A820="",C820=""),"",C820-D820)</f>
        <v/>
      </c>
    </row>
    <row r="821">
      <c r="D821">
        <f>IF(A821="","",SUMIFS(Contributions!E:E,Contributions!B:B,A821))</f>
        <v/>
      </c>
      <c r="E821">
        <f>IF(OR(A821="",C821=""),"",C821-D821)</f>
        <v/>
      </c>
    </row>
    <row r="822">
      <c r="D822">
        <f>IF(A822="","",SUMIFS(Contributions!E:E,Contributions!B:B,A822))</f>
        <v/>
      </c>
      <c r="E822">
        <f>IF(OR(A822="",C822=""),"",C822-D822)</f>
        <v/>
      </c>
    </row>
    <row r="823">
      <c r="D823">
        <f>IF(A823="","",SUMIFS(Contributions!E:E,Contributions!B:B,A823))</f>
        <v/>
      </c>
      <c r="E823">
        <f>IF(OR(A823="",C823=""),"",C823-D823)</f>
        <v/>
      </c>
    </row>
    <row r="824">
      <c r="D824">
        <f>IF(A824="","",SUMIFS(Contributions!E:E,Contributions!B:B,A824))</f>
        <v/>
      </c>
      <c r="E824">
        <f>IF(OR(A824="",C824=""),"",C824-D824)</f>
        <v/>
      </c>
    </row>
    <row r="825">
      <c r="D825">
        <f>IF(A825="","",SUMIFS(Contributions!E:E,Contributions!B:B,A825))</f>
        <v/>
      </c>
      <c r="E825">
        <f>IF(OR(A825="",C825=""),"",C825-D825)</f>
        <v/>
      </c>
    </row>
    <row r="826">
      <c r="D826">
        <f>IF(A826="","",SUMIFS(Contributions!E:E,Contributions!B:B,A826))</f>
        <v/>
      </c>
      <c r="E826">
        <f>IF(OR(A826="",C826=""),"",C826-D826)</f>
        <v/>
      </c>
    </row>
    <row r="827">
      <c r="D827">
        <f>IF(A827="","",SUMIFS(Contributions!E:E,Contributions!B:B,A827))</f>
        <v/>
      </c>
      <c r="E827">
        <f>IF(OR(A827="",C827=""),"",C827-D827)</f>
        <v/>
      </c>
    </row>
    <row r="828">
      <c r="D828">
        <f>IF(A828="","",SUMIFS(Contributions!E:E,Contributions!B:B,A828))</f>
        <v/>
      </c>
      <c r="E828">
        <f>IF(OR(A828="",C828=""),"",C828-D828)</f>
        <v/>
      </c>
    </row>
    <row r="829">
      <c r="D829">
        <f>IF(A829="","",SUMIFS(Contributions!E:E,Contributions!B:B,A829))</f>
        <v/>
      </c>
      <c r="E829">
        <f>IF(OR(A829="",C829=""),"",C829-D829)</f>
        <v/>
      </c>
    </row>
    <row r="830">
      <c r="D830">
        <f>IF(A830="","",SUMIFS(Contributions!E:E,Contributions!B:B,A830))</f>
        <v/>
      </c>
      <c r="E830">
        <f>IF(OR(A830="",C830=""),"",C830-D830)</f>
        <v/>
      </c>
    </row>
    <row r="831">
      <c r="D831">
        <f>IF(A831="","",SUMIFS(Contributions!E:E,Contributions!B:B,A831))</f>
        <v/>
      </c>
      <c r="E831">
        <f>IF(OR(A831="",C831=""),"",C831-D831)</f>
        <v/>
      </c>
    </row>
    <row r="832">
      <c r="D832">
        <f>IF(A832="","",SUMIFS(Contributions!E:E,Contributions!B:B,A832))</f>
        <v/>
      </c>
      <c r="E832">
        <f>IF(OR(A832="",C832=""),"",C832-D832)</f>
        <v/>
      </c>
    </row>
    <row r="833">
      <c r="D833">
        <f>IF(A833="","",SUMIFS(Contributions!E:E,Contributions!B:B,A833))</f>
        <v/>
      </c>
      <c r="E833">
        <f>IF(OR(A833="",C833=""),"",C833-D833)</f>
        <v/>
      </c>
    </row>
    <row r="834">
      <c r="D834">
        <f>IF(A834="","",SUMIFS(Contributions!E:E,Contributions!B:B,A834))</f>
        <v/>
      </c>
      <c r="E834">
        <f>IF(OR(A834="",C834=""),"",C834-D834)</f>
        <v/>
      </c>
    </row>
    <row r="835">
      <c r="D835">
        <f>IF(A835="","",SUMIFS(Contributions!E:E,Contributions!B:B,A835))</f>
        <v/>
      </c>
      <c r="E835">
        <f>IF(OR(A835="",C835=""),"",C835-D835)</f>
        <v/>
      </c>
    </row>
    <row r="836">
      <c r="D836">
        <f>IF(A836="","",SUMIFS(Contributions!E:E,Contributions!B:B,A836))</f>
        <v/>
      </c>
      <c r="E836">
        <f>IF(OR(A836="",C836=""),"",C836-D836)</f>
        <v/>
      </c>
    </row>
    <row r="837">
      <c r="D837">
        <f>IF(A837="","",SUMIFS(Contributions!E:E,Contributions!B:B,A837))</f>
        <v/>
      </c>
      <c r="E837">
        <f>IF(OR(A837="",C837=""),"",C837-D837)</f>
        <v/>
      </c>
    </row>
    <row r="838">
      <c r="D838">
        <f>IF(A838="","",SUMIFS(Contributions!E:E,Contributions!B:B,A838))</f>
        <v/>
      </c>
      <c r="E838">
        <f>IF(OR(A838="",C838=""),"",C838-D838)</f>
        <v/>
      </c>
    </row>
    <row r="839">
      <c r="D839">
        <f>IF(A839="","",SUMIFS(Contributions!E:E,Contributions!B:B,A839))</f>
        <v/>
      </c>
      <c r="E839">
        <f>IF(OR(A839="",C839=""),"",C839-D839)</f>
        <v/>
      </c>
    </row>
    <row r="840">
      <c r="D840">
        <f>IF(A840="","",SUMIFS(Contributions!E:E,Contributions!B:B,A840))</f>
        <v/>
      </c>
      <c r="E840">
        <f>IF(OR(A840="",C840=""),"",C840-D840)</f>
        <v/>
      </c>
    </row>
    <row r="841">
      <c r="D841">
        <f>IF(A841="","",SUMIFS(Contributions!E:E,Contributions!B:B,A841))</f>
        <v/>
      </c>
      <c r="E841">
        <f>IF(OR(A841="",C841=""),"",C841-D841)</f>
        <v/>
      </c>
    </row>
    <row r="842">
      <c r="D842">
        <f>IF(A842="","",SUMIFS(Contributions!E:E,Contributions!B:B,A842))</f>
        <v/>
      </c>
      <c r="E842">
        <f>IF(OR(A842="",C842=""),"",C842-D842)</f>
        <v/>
      </c>
    </row>
    <row r="843">
      <c r="D843">
        <f>IF(A843="","",SUMIFS(Contributions!E:E,Contributions!B:B,A843))</f>
        <v/>
      </c>
      <c r="E843">
        <f>IF(OR(A843="",C843=""),"",C843-D843)</f>
        <v/>
      </c>
    </row>
    <row r="844">
      <c r="D844">
        <f>IF(A844="","",SUMIFS(Contributions!E:E,Contributions!B:B,A844))</f>
        <v/>
      </c>
      <c r="E844">
        <f>IF(OR(A844="",C844=""),"",C844-D844)</f>
        <v/>
      </c>
    </row>
    <row r="845">
      <c r="D845">
        <f>IF(A845="","",SUMIFS(Contributions!E:E,Contributions!B:B,A845))</f>
        <v/>
      </c>
      <c r="E845">
        <f>IF(OR(A845="",C845=""),"",C845-D845)</f>
        <v/>
      </c>
    </row>
    <row r="846">
      <c r="D846">
        <f>IF(A846="","",SUMIFS(Contributions!E:E,Contributions!B:B,A846))</f>
        <v/>
      </c>
      <c r="E846">
        <f>IF(OR(A846="",C846=""),"",C846-D846)</f>
        <v/>
      </c>
    </row>
    <row r="847">
      <c r="D847">
        <f>IF(A847="","",SUMIFS(Contributions!E:E,Contributions!B:B,A847))</f>
        <v/>
      </c>
      <c r="E847">
        <f>IF(OR(A847="",C847=""),"",C847-D847)</f>
        <v/>
      </c>
    </row>
    <row r="848">
      <c r="D848">
        <f>IF(A848="","",SUMIFS(Contributions!E:E,Contributions!B:B,A848))</f>
        <v/>
      </c>
      <c r="E848">
        <f>IF(OR(A848="",C848=""),"",C848-D848)</f>
        <v/>
      </c>
    </row>
    <row r="849">
      <c r="D849">
        <f>IF(A849="","",SUMIFS(Contributions!E:E,Contributions!B:B,A849))</f>
        <v/>
      </c>
      <c r="E849">
        <f>IF(OR(A849="",C849=""),"",C849-D849)</f>
        <v/>
      </c>
    </row>
    <row r="850">
      <c r="D850">
        <f>IF(A850="","",SUMIFS(Contributions!E:E,Contributions!B:B,A850))</f>
        <v/>
      </c>
      <c r="E850">
        <f>IF(OR(A850="",C850=""),"",C850-D850)</f>
        <v/>
      </c>
    </row>
    <row r="851">
      <c r="D851">
        <f>IF(A851="","",SUMIFS(Contributions!E:E,Contributions!B:B,A851))</f>
        <v/>
      </c>
      <c r="E851">
        <f>IF(OR(A851="",C851=""),"",C851-D851)</f>
        <v/>
      </c>
    </row>
    <row r="852">
      <c r="D852">
        <f>IF(A852="","",SUMIFS(Contributions!E:E,Contributions!B:B,A852))</f>
        <v/>
      </c>
      <c r="E852">
        <f>IF(OR(A852="",C852=""),"",C852-D852)</f>
        <v/>
      </c>
    </row>
    <row r="853">
      <c r="D853">
        <f>IF(A853="","",SUMIFS(Contributions!E:E,Contributions!B:B,A853))</f>
        <v/>
      </c>
      <c r="E853">
        <f>IF(OR(A853="",C853=""),"",C853-D853)</f>
        <v/>
      </c>
    </row>
    <row r="854">
      <c r="D854">
        <f>IF(A854="","",SUMIFS(Contributions!E:E,Contributions!B:B,A854))</f>
        <v/>
      </c>
      <c r="E854">
        <f>IF(OR(A854="",C854=""),"",C854-D854)</f>
        <v/>
      </c>
    </row>
    <row r="855">
      <c r="D855">
        <f>IF(A855="","",SUMIFS(Contributions!E:E,Contributions!B:B,A855))</f>
        <v/>
      </c>
      <c r="E855">
        <f>IF(OR(A855="",C855=""),"",C855-D855)</f>
        <v/>
      </c>
    </row>
    <row r="856">
      <c r="D856">
        <f>IF(A856="","",SUMIFS(Contributions!E:E,Contributions!B:B,A856))</f>
        <v/>
      </c>
      <c r="E856">
        <f>IF(OR(A856="",C856=""),"",C856-D856)</f>
        <v/>
      </c>
    </row>
    <row r="857">
      <c r="D857">
        <f>IF(A857="","",SUMIFS(Contributions!E:E,Contributions!B:B,A857))</f>
        <v/>
      </c>
      <c r="E857">
        <f>IF(OR(A857="",C857=""),"",C857-D857)</f>
        <v/>
      </c>
    </row>
    <row r="858">
      <c r="D858">
        <f>IF(A858="","",SUMIFS(Contributions!E:E,Contributions!B:B,A858))</f>
        <v/>
      </c>
      <c r="E858">
        <f>IF(OR(A858="",C858=""),"",C858-D858)</f>
        <v/>
      </c>
    </row>
    <row r="859">
      <c r="D859">
        <f>IF(A859="","",SUMIFS(Contributions!E:E,Contributions!B:B,A859))</f>
        <v/>
      </c>
      <c r="E859">
        <f>IF(OR(A859="",C859=""),"",C859-D859)</f>
        <v/>
      </c>
    </row>
    <row r="860">
      <c r="D860">
        <f>IF(A860="","",SUMIFS(Contributions!E:E,Contributions!B:B,A860))</f>
        <v/>
      </c>
      <c r="E860">
        <f>IF(OR(A860="",C860=""),"",C860-D860)</f>
        <v/>
      </c>
    </row>
    <row r="861">
      <c r="D861">
        <f>IF(A861="","",SUMIFS(Contributions!E:E,Contributions!B:B,A861))</f>
        <v/>
      </c>
      <c r="E861">
        <f>IF(OR(A861="",C861=""),"",C861-D861)</f>
        <v/>
      </c>
    </row>
    <row r="862">
      <c r="D862">
        <f>IF(A862="","",SUMIFS(Contributions!E:E,Contributions!B:B,A862))</f>
        <v/>
      </c>
      <c r="E862">
        <f>IF(OR(A862="",C862=""),"",C862-D862)</f>
        <v/>
      </c>
    </row>
    <row r="863">
      <c r="D863">
        <f>IF(A863="","",SUMIFS(Contributions!E:E,Contributions!B:B,A863))</f>
        <v/>
      </c>
      <c r="E863">
        <f>IF(OR(A863="",C863=""),"",C863-D863)</f>
        <v/>
      </c>
    </row>
    <row r="864">
      <c r="D864">
        <f>IF(A864="","",SUMIFS(Contributions!E:E,Contributions!B:B,A864))</f>
        <v/>
      </c>
      <c r="E864">
        <f>IF(OR(A864="",C864=""),"",C864-D864)</f>
        <v/>
      </c>
    </row>
    <row r="865">
      <c r="D865">
        <f>IF(A865="","",SUMIFS(Contributions!E:E,Contributions!B:B,A865))</f>
        <v/>
      </c>
      <c r="E865">
        <f>IF(OR(A865="",C865=""),"",C865-D865)</f>
        <v/>
      </c>
    </row>
    <row r="866">
      <c r="D866">
        <f>IF(A866="","",SUMIFS(Contributions!E:E,Contributions!B:B,A866))</f>
        <v/>
      </c>
      <c r="E866">
        <f>IF(OR(A866="",C866=""),"",C866-D866)</f>
        <v/>
      </c>
    </row>
    <row r="867">
      <c r="D867">
        <f>IF(A867="","",SUMIFS(Contributions!E:E,Contributions!B:B,A867))</f>
        <v/>
      </c>
      <c r="E867">
        <f>IF(OR(A867="",C867=""),"",C867-D867)</f>
        <v/>
      </c>
    </row>
    <row r="868">
      <c r="D868">
        <f>IF(A868="","",SUMIFS(Contributions!E:E,Contributions!B:B,A868))</f>
        <v/>
      </c>
      <c r="E868">
        <f>IF(OR(A868="",C868=""),"",C868-D868)</f>
        <v/>
      </c>
    </row>
    <row r="869">
      <c r="D869">
        <f>IF(A869="","",SUMIFS(Contributions!E:E,Contributions!B:B,A869))</f>
        <v/>
      </c>
      <c r="E869">
        <f>IF(OR(A869="",C869=""),"",C869-D869)</f>
        <v/>
      </c>
    </row>
    <row r="870">
      <c r="D870">
        <f>IF(A870="","",SUMIFS(Contributions!E:E,Contributions!B:B,A870))</f>
        <v/>
      </c>
      <c r="E870">
        <f>IF(OR(A870="",C870=""),"",C870-D870)</f>
        <v/>
      </c>
    </row>
    <row r="871">
      <c r="D871">
        <f>IF(A871="","",SUMIFS(Contributions!E:E,Contributions!B:B,A871))</f>
        <v/>
      </c>
      <c r="E871">
        <f>IF(OR(A871="",C871=""),"",C871-D871)</f>
        <v/>
      </c>
    </row>
    <row r="872">
      <c r="D872">
        <f>IF(A872="","",SUMIFS(Contributions!E:E,Contributions!B:B,A872))</f>
        <v/>
      </c>
      <c r="E872">
        <f>IF(OR(A872="",C872=""),"",C872-D872)</f>
        <v/>
      </c>
    </row>
    <row r="873">
      <c r="D873">
        <f>IF(A873="","",SUMIFS(Contributions!E:E,Contributions!B:B,A873))</f>
        <v/>
      </c>
      <c r="E873">
        <f>IF(OR(A873="",C873=""),"",C873-D873)</f>
        <v/>
      </c>
    </row>
    <row r="874">
      <c r="D874">
        <f>IF(A874="","",SUMIFS(Contributions!E:E,Contributions!B:B,A874))</f>
        <v/>
      </c>
      <c r="E874">
        <f>IF(OR(A874="",C874=""),"",C874-D874)</f>
        <v/>
      </c>
    </row>
    <row r="875">
      <c r="D875">
        <f>IF(A875="","",SUMIFS(Contributions!E:E,Contributions!B:B,A875))</f>
        <v/>
      </c>
      <c r="E875">
        <f>IF(OR(A875="",C875=""),"",C875-D875)</f>
        <v/>
      </c>
    </row>
    <row r="876">
      <c r="D876">
        <f>IF(A876="","",SUMIFS(Contributions!E:E,Contributions!B:B,A876))</f>
        <v/>
      </c>
      <c r="E876">
        <f>IF(OR(A876="",C876=""),"",C876-D876)</f>
        <v/>
      </c>
    </row>
    <row r="877">
      <c r="D877">
        <f>IF(A877="","",SUMIFS(Contributions!E:E,Contributions!B:B,A877))</f>
        <v/>
      </c>
      <c r="E877">
        <f>IF(OR(A877="",C877=""),"",C877-D877)</f>
        <v/>
      </c>
    </row>
    <row r="878">
      <c r="D878">
        <f>IF(A878="","",SUMIFS(Contributions!E:E,Contributions!B:B,A878))</f>
        <v/>
      </c>
      <c r="E878">
        <f>IF(OR(A878="",C878=""),"",C878-D878)</f>
        <v/>
      </c>
    </row>
    <row r="879">
      <c r="D879">
        <f>IF(A879="","",SUMIFS(Contributions!E:E,Contributions!B:B,A879))</f>
        <v/>
      </c>
      <c r="E879">
        <f>IF(OR(A879="",C879=""),"",C879-D879)</f>
        <v/>
      </c>
    </row>
    <row r="880">
      <c r="D880">
        <f>IF(A880="","",SUMIFS(Contributions!E:E,Contributions!B:B,A880))</f>
        <v/>
      </c>
      <c r="E880">
        <f>IF(OR(A880="",C880=""),"",C880-D880)</f>
        <v/>
      </c>
    </row>
    <row r="881">
      <c r="D881">
        <f>IF(A881="","",SUMIFS(Contributions!E:E,Contributions!B:B,A881))</f>
        <v/>
      </c>
      <c r="E881">
        <f>IF(OR(A881="",C881=""),"",C881-D881)</f>
        <v/>
      </c>
    </row>
    <row r="882">
      <c r="D882">
        <f>IF(A882="","",SUMIFS(Contributions!E:E,Contributions!B:B,A882))</f>
        <v/>
      </c>
      <c r="E882">
        <f>IF(OR(A882="",C882=""),"",C882-D882)</f>
        <v/>
      </c>
    </row>
    <row r="883">
      <c r="D883">
        <f>IF(A883="","",SUMIFS(Contributions!E:E,Contributions!B:B,A883))</f>
        <v/>
      </c>
      <c r="E883">
        <f>IF(OR(A883="",C883=""),"",C883-D883)</f>
        <v/>
      </c>
    </row>
    <row r="884">
      <c r="D884">
        <f>IF(A884="","",SUMIFS(Contributions!E:E,Contributions!B:B,A884))</f>
        <v/>
      </c>
      <c r="E884">
        <f>IF(OR(A884="",C884=""),"",C884-D884)</f>
        <v/>
      </c>
    </row>
    <row r="885">
      <c r="D885">
        <f>IF(A885="","",SUMIFS(Contributions!E:E,Contributions!B:B,A885))</f>
        <v/>
      </c>
      <c r="E885">
        <f>IF(OR(A885="",C885=""),"",C885-D885)</f>
        <v/>
      </c>
    </row>
    <row r="886">
      <c r="D886">
        <f>IF(A886="","",SUMIFS(Contributions!E:E,Contributions!B:B,A886))</f>
        <v/>
      </c>
      <c r="E886">
        <f>IF(OR(A886="",C886=""),"",C886-D886)</f>
        <v/>
      </c>
    </row>
    <row r="887">
      <c r="D887">
        <f>IF(A887="","",SUMIFS(Contributions!E:E,Contributions!B:B,A887))</f>
        <v/>
      </c>
      <c r="E887">
        <f>IF(OR(A887="",C887=""),"",C887-D887)</f>
        <v/>
      </c>
    </row>
    <row r="888">
      <c r="D888">
        <f>IF(A888="","",SUMIFS(Contributions!E:E,Contributions!B:B,A888))</f>
        <v/>
      </c>
      <c r="E888">
        <f>IF(OR(A888="",C888=""),"",C888-D888)</f>
        <v/>
      </c>
    </row>
    <row r="889">
      <c r="D889">
        <f>IF(A889="","",SUMIFS(Contributions!E:E,Contributions!B:B,A889))</f>
        <v/>
      </c>
      <c r="E889">
        <f>IF(OR(A889="",C889=""),"",C889-D889)</f>
        <v/>
      </c>
    </row>
    <row r="890">
      <c r="D890">
        <f>IF(A890="","",SUMIFS(Contributions!E:E,Contributions!B:B,A890))</f>
        <v/>
      </c>
      <c r="E890">
        <f>IF(OR(A890="",C890=""),"",C890-D890)</f>
        <v/>
      </c>
    </row>
    <row r="891">
      <c r="D891">
        <f>IF(A891="","",SUMIFS(Contributions!E:E,Contributions!B:B,A891))</f>
        <v/>
      </c>
      <c r="E891">
        <f>IF(OR(A891="",C891=""),"",C891-D891)</f>
        <v/>
      </c>
    </row>
    <row r="892">
      <c r="D892">
        <f>IF(A892="","",SUMIFS(Contributions!E:E,Contributions!B:B,A892))</f>
        <v/>
      </c>
      <c r="E892">
        <f>IF(OR(A892="",C892=""),"",C892-D892)</f>
        <v/>
      </c>
    </row>
    <row r="893">
      <c r="D893">
        <f>IF(A893="","",SUMIFS(Contributions!E:E,Contributions!B:B,A893))</f>
        <v/>
      </c>
      <c r="E893">
        <f>IF(OR(A893="",C893=""),"",C893-D893)</f>
        <v/>
      </c>
    </row>
    <row r="894">
      <c r="D894">
        <f>IF(A894="","",SUMIFS(Contributions!E:E,Contributions!B:B,A894))</f>
        <v/>
      </c>
      <c r="E894">
        <f>IF(OR(A894="",C894=""),"",C894-D894)</f>
        <v/>
      </c>
    </row>
    <row r="895">
      <c r="D895">
        <f>IF(A895="","",SUMIFS(Contributions!E:E,Contributions!B:B,A895))</f>
        <v/>
      </c>
      <c r="E895">
        <f>IF(OR(A895="",C895=""),"",C895-D895)</f>
        <v/>
      </c>
    </row>
    <row r="896">
      <c r="D896">
        <f>IF(A896="","",SUMIFS(Contributions!E:E,Contributions!B:B,A896))</f>
        <v/>
      </c>
      <c r="E896">
        <f>IF(OR(A896="",C896=""),"",C896-D896)</f>
        <v/>
      </c>
    </row>
    <row r="897">
      <c r="D897">
        <f>IF(A897="","",SUMIFS(Contributions!E:E,Contributions!B:B,A897))</f>
        <v/>
      </c>
      <c r="E897">
        <f>IF(OR(A897="",C897=""),"",C897-D897)</f>
        <v/>
      </c>
    </row>
    <row r="898">
      <c r="D898">
        <f>IF(A898="","",SUMIFS(Contributions!E:E,Contributions!B:B,A898))</f>
        <v/>
      </c>
      <c r="E898">
        <f>IF(OR(A898="",C898=""),"",C898-D898)</f>
        <v/>
      </c>
    </row>
    <row r="899">
      <c r="D899">
        <f>IF(A899="","",SUMIFS(Contributions!E:E,Contributions!B:B,A899))</f>
        <v/>
      </c>
      <c r="E899">
        <f>IF(OR(A899="",C899=""),"",C899-D899)</f>
        <v/>
      </c>
    </row>
    <row r="900">
      <c r="D900">
        <f>IF(A900="","",SUMIFS(Contributions!E:E,Contributions!B:B,A900))</f>
        <v/>
      </c>
      <c r="E900">
        <f>IF(OR(A900="",C900=""),"",C900-D900)</f>
        <v/>
      </c>
    </row>
    <row r="901">
      <c r="D901">
        <f>IF(A901="","",SUMIFS(Contributions!E:E,Contributions!B:B,A901))</f>
        <v/>
      </c>
      <c r="E901">
        <f>IF(OR(A901="",C901=""),"",C901-D901)</f>
        <v/>
      </c>
    </row>
    <row r="902">
      <c r="D902">
        <f>IF(A902="","",SUMIFS(Contributions!E:E,Contributions!B:B,A902))</f>
        <v/>
      </c>
      <c r="E902">
        <f>IF(OR(A902="",C902=""),"",C902-D902)</f>
        <v/>
      </c>
    </row>
    <row r="903">
      <c r="D903">
        <f>IF(A903="","",SUMIFS(Contributions!E:E,Contributions!B:B,A903))</f>
        <v/>
      </c>
      <c r="E903">
        <f>IF(OR(A903="",C903=""),"",C903-D903)</f>
        <v/>
      </c>
    </row>
    <row r="904">
      <c r="D904">
        <f>IF(A904="","",SUMIFS(Contributions!E:E,Contributions!B:B,A904))</f>
        <v/>
      </c>
      <c r="E904">
        <f>IF(OR(A904="",C904=""),"",C904-D904)</f>
        <v/>
      </c>
    </row>
    <row r="905">
      <c r="D905">
        <f>IF(A905="","",SUMIFS(Contributions!E:E,Contributions!B:B,A905))</f>
        <v/>
      </c>
      <c r="E905">
        <f>IF(OR(A905="",C905=""),"",C905-D905)</f>
        <v/>
      </c>
    </row>
    <row r="906">
      <c r="D906">
        <f>IF(A906="","",SUMIFS(Contributions!E:E,Contributions!B:B,A906))</f>
        <v/>
      </c>
      <c r="E906">
        <f>IF(OR(A906="",C906=""),"",C906-D906)</f>
        <v/>
      </c>
    </row>
    <row r="907">
      <c r="D907">
        <f>IF(A907="","",SUMIFS(Contributions!E:E,Contributions!B:B,A907))</f>
        <v/>
      </c>
      <c r="E907">
        <f>IF(OR(A907="",C907=""),"",C907-D907)</f>
        <v/>
      </c>
    </row>
    <row r="908">
      <c r="D908">
        <f>IF(A908="","",SUMIFS(Contributions!E:E,Contributions!B:B,A908))</f>
        <v/>
      </c>
      <c r="E908">
        <f>IF(OR(A908="",C908=""),"",C908-D908)</f>
        <v/>
      </c>
    </row>
    <row r="909">
      <c r="D909">
        <f>IF(A909="","",SUMIFS(Contributions!E:E,Contributions!B:B,A909))</f>
        <v/>
      </c>
      <c r="E909">
        <f>IF(OR(A909="",C909=""),"",C909-D909)</f>
        <v/>
      </c>
    </row>
    <row r="910">
      <c r="D910">
        <f>IF(A910="","",SUMIFS(Contributions!E:E,Contributions!B:B,A910))</f>
        <v/>
      </c>
      <c r="E910">
        <f>IF(OR(A910="",C910=""),"",C910-D910)</f>
        <v/>
      </c>
    </row>
    <row r="911">
      <c r="D911">
        <f>IF(A911="","",SUMIFS(Contributions!E:E,Contributions!B:B,A911))</f>
        <v/>
      </c>
      <c r="E911">
        <f>IF(OR(A911="",C911=""),"",C911-D911)</f>
        <v/>
      </c>
    </row>
    <row r="912">
      <c r="D912">
        <f>IF(A912="","",SUMIFS(Contributions!E:E,Contributions!B:B,A912))</f>
        <v/>
      </c>
      <c r="E912">
        <f>IF(OR(A912="",C912=""),"",C912-D912)</f>
        <v/>
      </c>
    </row>
    <row r="913">
      <c r="D913">
        <f>IF(A913="","",SUMIFS(Contributions!E:E,Contributions!B:B,A913))</f>
        <v/>
      </c>
      <c r="E913">
        <f>IF(OR(A913="",C913=""),"",C913-D913)</f>
        <v/>
      </c>
    </row>
    <row r="914">
      <c r="D914">
        <f>IF(A914="","",SUMIFS(Contributions!E:E,Contributions!B:B,A914))</f>
        <v/>
      </c>
      <c r="E914">
        <f>IF(OR(A914="",C914=""),"",C914-D914)</f>
        <v/>
      </c>
    </row>
    <row r="915">
      <c r="D915">
        <f>IF(A915="","",SUMIFS(Contributions!E:E,Contributions!B:B,A915))</f>
        <v/>
      </c>
      <c r="E915">
        <f>IF(OR(A915="",C915=""),"",C915-D915)</f>
        <v/>
      </c>
    </row>
    <row r="916">
      <c r="D916">
        <f>IF(A916="","",SUMIFS(Contributions!E:E,Contributions!B:B,A916))</f>
        <v/>
      </c>
      <c r="E916">
        <f>IF(OR(A916="",C916=""),"",C916-D916)</f>
        <v/>
      </c>
    </row>
    <row r="917">
      <c r="D917">
        <f>IF(A917="","",SUMIFS(Contributions!E:E,Contributions!B:B,A917))</f>
        <v/>
      </c>
      <c r="E917">
        <f>IF(OR(A917="",C917=""),"",C917-D917)</f>
        <v/>
      </c>
    </row>
    <row r="918">
      <c r="D918">
        <f>IF(A918="","",SUMIFS(Contributions!E:E,Contributions!B:B,A918))</f>
        <v/>
      </c>
      <c r="E918">
        <f>IF(OR(A918="",C918=""),"",C918-D918)</f>
        <v/>
      </c>
    </row>
    <row r="919">
      <c r="D919">
        <f>IF(A919="","",SUMIFS(Contributions!E:E,Contributions!B:B,A919))</f>
        <v/>
      </c>
      <c r="E919">
        <f>IF(OR(A919="",C919=""),"",C919-D919)</f>
        <v/>
      </c>
    </row>
    <row r="920">
      <c r="D920">
        <f>IF(A920="","",SUMIFS(Contributions!E:E,Contributions!B:B,A920))</f>
        <v/>
      </c>
      <c r="E920">
        <f>IF(OR(A920="",C920=""),"",C920-D920)</f>
        <v/>
      </c>
    </row>
    <row r="921">
      <c r="D921">
        <f>IF(A921="","",SUMIFS(Contributions!E:E,Contributions!B:B,A921))</f>
        <v/>
      </c>
      <c r="E921">
        <f>IF(OR(A921="",C921=""),"",C921-D921)</f>
        <v/>
      </c>
    </row>
    <row r="922">
      <c r="D922">
        <f>IF(A922="","",SUMIFS(Contributions!E:E,Contributions!B:B,A922))</f>
        <v/>
      </c>
      <c r="E922">
        <f>IF(OR(A922="",C922=""),"",C922-D922)</f>
        <v/>
      </c>
    </row>
    <row r="923">
      <c r="D923">
        <f>IF(A923="","",SUMIFS(Contributions!E:E,Contributions!B:B,A923))</f>
        <v/>
      </c>
      <c r="E923">
        <f>IF(OR(A923="",C923=""),"",C923-D923)</f>
        <v/>
      </c>
    </row>
    <row r="924">
      <c r="D924">
        <f>IF(A924="","",SUMIFS(Contributions!E:E,Contributions!B:B,A924))</f>
        <v/>
      </c>
      <c r="E924">
        <f>IF(OR(A924="",C924=""),"",C924-D924)</f>
        <v/>
      </c>
    </row>
    <row r="925">
      <c r="D925">
        <f>IF(A925="","",SUMIFS(Contributions!E:E,Contributions!B:B,A925))</f>
        <v/>
      </c>
      <c r="E925">
        <f>IF(OR(A925="",C925=""),"",C925-D925)</f>
        <v/>
      </c>
    </row>
    <row r="926">
      <c r="D926">
        <f>IF(A926="","",SUMIFS(Contributions!E:E,Contributions!B:B,A926))</f>
        <v/>
      </c>
      <c r="E926">
        <f>IF(OR(A926="",C926=""),"",C926-D926)</f>
        <v/>
      </c>
    </row>
    <row r="927">
      <c r="D927">
        <f>IF(A927="","",SUMIFS(Contributions!E:E,Contributions!B:B,A927))</f>
        <v/>
      </c>
      <c r="E927">
        <f>IF(OR(A927="",C927=""),"",C927-D927)</f>
        <v/>
      </c>
    </row>
    <row r="928">
      <c r="D928">
        <f>IF(A928="","",SUMIFS(Contributions!E:E,Contributions!B:B,A928))</f>
        <v/>
      </c>
      <c r="E928">
        <f>IF(OR(A928="",C928=""),"",C928-D928)</f>
        <v/>
      </c>
    </row>
    <row r="929">
      <c r="D929">
        <f>IF(A929="","",SUMIFS(Contributions!E:E,Contributions!B:B,A929))</f>
        <v/>
      </c>
      <c r="E929">
        <f>IF(OR(A929="",C929=""),"",C929-D929)</f>
        <v/>
      </c>
    </row>
    <row r="930">
      <c r="D930">
        <f>IF(A930="","",SUMIFS(Contributions!E:E,Contributions!B:B,A930))</f>
        <v/>
      </c>
      <c r="E930">
        <f>IF(OR(A930="",C930=""),"",C930-D930)</f>
        <v/>
      </c>
    </row>
    <row r="931">
      <c r="D931">
        <f>IF(A931="","",SUMIFS(Contributions!E:E,Contributions!B:B,A931))</f>
        <v/>
      </c>
      <c r="E931">
        <f>IF(OR(A931="",C931=""),"",C931-D931)</f>
        <v/>
      </c>
    </row>
    <row r="932">
      <c r="D932">
        <f>IF(A932="","",SUMIFS(Contributions!E:E,Contributions!B:B,A932))</f>
        <v/>
      </c>
      <c r="E932">
        <f>IF(OR(A932="",C932=""),"",C932-D932)</f>
        <v/>
      </c>
    </row>
    <row r="933">
      <c r="D933">
        <f>IF(A933="","",SUMIFS(Contributions!E:E,Contributions!B:B,A933))</f>
        <v/>
      </c>
      <c r="E933">
        <f>IF(OR(A933="",C933=""),"",C933-D933)</f>
        <v/>
      </c>
    </row>
    <row r="934">
      <c r="D934">
        <f>IF(A934="","",SUMIFS(Contributions!E:E,Contributions!B:B,A934))</f>
        <v/>
      </c>
      <c r="E934">
        <f>IF(OR(A934="",C934=""),"",C934-D934)</f>
        <v/>
      </c>
    </row>
    <row r="935">
      <c r="D935">
        <f>IF(A935="","",SUMIFS(Contributions!E:E,Contributions!B:B,A935))</f>
        <v/>
      </c>
      <c r="E935">
        <f>IF(OR(A935="",C935=""),"",C935-D935)</f>
        <v/>
      </c>
    </row>
    <row r="936">
      <c r="D936">
        <f>IF(A936="","",SUMIFS(Contributions!E:E,Contributions!B:B,A936))</f>
        <v/>
      </c>
      <c r="E936">
        <f>IF(OR(A936="",C936=""),"",C936-D936)</f>
        <v/>
      </c>
    </row>
    <row r="937">
      <c r="D937">
        <f>IF(A937="","",SUMIFS(Contributions!E:E,Contributions!B:B,A937))</f>
        <v/>
      </c>
      <c r="E937">
        <f>IF(OR(A937="",C937=""),"",C937-D937)</f>
        <v/>
      </c>
    </row>
    <row r="938">
      <c r="D938">
        <f>IF(A938="","",SUMIFS(Contributions!E:E,Contributions!B:B,A938))</f>
        <v/>
      </c>
      <c r="E938">
        <f>IF(OR(A938="",C938=""),"",C938-D938)</f>
        <v/>
      </c>
    </row>
    <row r="939">
      <c r="D939">
        <f>IF(A939="","",SUMIFS(Contributions!E:E,Contributions!B:B,A939))</f>
        <v/>
      </c>
      <c r="E939">
        <f>IF(OR(A939="",C939=""),"",C939-D939)</f>
        <v/>
      </c>
    </row>
    <row r="940">
      <c r="D940">
        <f>IF(A940="","",SUMIFS(Contributions!E:E,Contributions!B:B,A940))</f>
        <v/>
      </c>
      <c r="E940">
        <f>IF(OR(A940="",C940=""),"",C940-D940)</f>
        <v/>
      </c>
    </row>
    <row r="941">
      <c r="D941">
        <f>IF(A941="","",SUMIFS(Contributions!E:E,Contributions!B:B,A941))</f>
        <v/>
      </c>
      <c r="E941">
        <f>IF(OR(A941="",C941=""),"",C941-D941)</f>
        <v/>
      </c>
    </row>
    <row r="942">
      <c r="D942">
        <f>IF(A942="","",SUMIFS(Contributions!E:E,Contributions!B:B,A942))</f>
        <v/>
      </c>
      <c r="E942">
        <f>IF(OR(A942="",C942=""),"",C942-D942)</f>
        <v/>
      </c>
    </row>
    <row r="943">
      <c r="D943">
        <f>IF(A943="","",SUMIFS(Contributions!E:E,Contributions!B:B,A943))</f>
        <v/>
      </c>
      <c r="E943">
        <f>IF(OR(A943="",C943=""),"",C943-D943)</f>
        <v/>
      </c>
    </row>
    <row r="944">
      <c r="D944">
        <f>IF(A944="","",SUMIFS(Contributions!E:E,Contributions!B:B,A944))</f>
        <v/>
      </c>
      <c r="E944">
        <f>IF(OR(A944="",C944=""),"",C944-D944)</f>
        <v/>
      </c>
    </row>
    <row r="945">
      <c r="D945">
        <f>IF(A945="","",SUMIFS(Contributions!E:E,Contributions!B:B,A945))</f>
        <v/>
      </c>
      <c r="E945">
        <f>IF(OR(A945="",C945=""),"",C945-D945)</f>
        <v/>
      </c>
    </row>
    <row r="946">
      <c r="D946">
        <f>IF(A946="","",SUMIFS(Contributions!E:E,Contributions!B:B,A946))</f>
        <v/>
      </c>
      <c r="E946">
        <f>IF(OR(A946="",C946=""),"",C946-D946)</f>
        <v/>
      </c>
    </row>
    <row r="947">
      <c r="D947">
        <f>IF(A947="","",SUMIFS(Contributions!E:E,Contributions!B:B,A947))</f>
        <v/>
      </c>
      <c r="E947">
        <f>IF(OR(A947="",C947=""),"",C947-D947)</f>
        <v/>
      </c>
    </row>
    <row r="948">
      <c r="D948">
        <f>IF(A948="","",SUMIFS(Contributions!E:E,Contributions!B:B,A948))</f>
        <v/>
      </c>
      <c r="E948">
        <f>IF(OR(A948="",C948=""),"",C948-D948)</f>
        <v/>
      </c>
    </row>
    <row r="949">
      <c r="D949">
        <f>IF(A949="","",SUMIFS(Contributions!E:E,Contributions!B:B,A949))</f>
        <v/>
      </c>
      <c r="E949">
        <f>IF(OR(A949="",C949=""),"",C949-D949)</f>
        <v/>
      </c>
    </row>
    <row r="950">
      <c r="D950">
        <f>IF(A950="","",SUMIFS(Contributions!E:E,Contributions!B:B,A950))</f>
        <v/>
      </c>
      <c r="E950">
        <f>IF(OR(A950="",C950=""),"",C950-D950)</f>
        <v/>
      </c>
    </row>
    <row r="951">
      <c r="D951">
        <f>IF(A951="","",SUMIFS(Contributions!E:E,Contributions!B:B,A951))</f>
        <v/>
      </c>
      <c r="E951">
        <f>IF(OR(A951="",C951=""),"",C951-D951)</f>
        <v/>
      </c>
    </row>
    <row r="952">
      <c r="D952">
        <f>IF(A952="","",SUMIFS(Contributions!E:E,Contributions!B:B,A952))</f>
        <v/>
      </c>
      <c r="E952">
        <f>IF(OR(A952="",C952=""),"",C952-D952)</f>
        <v/>
      </c>
    </row>
    <row r="953">
      <c r="D953">
        <f>IF(A953="","",SUMIFS(Contributions!E:E,Contributions!B:B,A953))</f>
        <v/>
      </c>
      <c r="E953">
        <f>IF(OR(A953="",C953=""),"",C953-D953)</f>
        <v/>
      </c>
    </row>
    <row r="954">
      <c r="D954">
        <f>IF(A954="","",SUMIFS(Contributions!E:E,Contributions!B:B,A954))</f>
        <v/>
      </c>
      <c r="E954">
        <f>IF(OR(A954="",C954=""),"",C954-D954)</f>
        <v/>
      </c>
    </row>
    <row r="955">
      <c r="D955">
        <f>IF(A955="","",SUMIFS(Contributions!E:E,Contributions!B:B,A955))</f>
        <v/>
      </c>
      <c r="E955">
        <f>IF(OR(A955="",C955=""),"",C955-D955)</f>
        <v/>
      </c>
    </row>
    <row r="956">
      <c r="D956">
        <f>IF(A956="","",SUMIFS(Contributions!E:E,Contributions!B:B,A956))</f>
        <v/>
      </c>
      <c r="E956">
        <f>IF(OR(A956="",C956=""),"",C956-D956)</f>
        <v/>
      </c>
    </row>
    <row r="957">
      <c r="D957">
        <f>IF(A957="","",SUMIFS(Contributions!E:E,Contributions!B:B,A957))</f>
        <v/>
      </c>
      <c r="E957">
        <f>IF(OR(A957="",C957=""),"",C957-D957)</f>
        <v/>
      </c>
    </row>
    <row r="958">
      <c r="D958">
        <f>IF(A958="","",SUMIFS(Contributions!E:E,Contributions!B:B,A958))</f>
        <v/>
      </c>
      <c r="E958">
        <f>IF(OR(A958="",C958=""),"",C958-D958)</f>
        <v/>
      </c>
    </row>
    <row r="959">
      <c r="D959">
        <f>IF(A959="","",SUMIFS(Contributions!E:E,Contributions!B:B,A959))</f>
        <v/>
      </c>
      <c r="E959">
        <f>IF(OR(A959="",C959=""),"",C959-D959)</f>
        <v/>
      </c>
    </row>
    <row r="960">
      <c r="D960">
        <f>IF(A960="","",SUMIFS(Contributions!E:E,Contributions!B:B,A960))</f>
        <v/>
      </c>
      <c r="E960">
        <f>IF(OR(A960="",C960=""),"",C960-D960)</f>
        <v/>
      </c>
    </row>
    <row r="961">
      <c r="D961">
        <f>IF(A961="","",SUMIFS(Contributions!E:E,Contributions!B:B,A961))</f>
        <v/>
      </c>
      <c r="E961">
        <f>IF(OR(A961="",C961=""),"",C961-D961)</f>
        <v/>
      </c>
    </row>
    <row r="962">
      <c r="D962">
        <f>IF(A962="","",SUMIFS(Contributions!E:E,Contributions!B:B,A962))</f>
        <v/>
      </c>
      <c r="E962">
        <f>IF(OR(A962="",C962=""),"",C962-D962)</f>
        <v/>
      </c>
    </row>
    <row r="963">
      <c r="D963">
        <f>IF(A963="","",SUMIFS(Contributions!E:E,Contributions!B:B,A963))</f>
        <v/>
      </c>
      <c r="E963">
        <f>IF(OR(A963="",C963=""),"",C963-D963)</f>
        <v/>
      </c>
    </row>
    <row r="964">
      <c r="D964">
        <f>IF(A964="","",SUMIFS(Contributions!E:E,Contributions!B:B,A964))</f>
        <v/>
      </c>
      <c r="E964">
        <f>IF(OR(A964="",C964=""),"",C964-D964)</f>
        <v/>
      </c>
    </row>
    <row r="965">
      <c r="D965">
        <f>IF(A965="","",SUMIFS(Contributions!E:E,Contributions!B:B,A965))</f>
        <v/>
      </c>
      <c r="E965">
        <f>IF(OR(A965="",C965=""),"",C965-D965)</f>
        <v/>
      </c>
    </row>
    <row r="966">
      <c r="D966">
        <f>IF(A966="","",SUMIFS(Contributions!E:E,Contributions!B:B,A966))</f>
        <v/>
      </c>
      <c r="E966">
        <f>IF(OR(A966="",C966=""),"",C966-D966)</f>
        <v/>
      </c>
    </row>
    <row r="967">
      <c r="D967">
        <f>IF(A967="","",SUMIFS(Contributions!E:E,Contributions!B:B,A967))</f>
        <v/>
      </c>
      <c r="E967">
        <f>IF(OR(A967="",C967=""),"",C967-D967)</f>
        <v/>
      </c>
    </row>
    <row r="968">
      <c r="D968">
        <f>IF(A968="","",SUMIFS(Contributions!E:E,Contributions!B:B,A968))</f>
        <v/>
      </c>
      <c r="E968">
        <f>IF(OR(A968="",C968=""),"",C968-D968)</f>
        <v/>
      </c>
    </row>
    <row r="969">
      <c r="D969">
        <f>IF(A969="","",SUMIFS(Contributions!E:E,Contributions!B:B,A969))</f>
        <v/>
      </c>
      <c r="E969">
        <f>IF(OR(A969="",C969=""),"",C969-D969)</f>
        <v/>
      </c>
    </row>
    <row r="970">
      <c r="D970">
        <f>IF(A970="","",SUMIFS(Contributions!E:E,Contributions!B:B,A970))</f>
        <v/>
      </c>
      <c r="E970">
        <f>IF(OR(A970="",C970=""),"",C970-D970)</f>
        <v/>
      </c>
    </row>
    <row r="971">
      <c r="D971">
        <f>IF(A971="","",SUMIFS(Contributions!E:E,Contributions!B:B,A971))</f>
        <v/>
      </c>
      <c r="E971">
        <f>IF(OR(A971="",C971=""),"",C971-D971)</f>
        <v/>
      </c>
    </row>
    <row r="972">
      <c r="D972">
        <f>IF(A972="","",SUMIFS(Contributions!E:E,Contributions!B:B,A972))</f>
        <v/>
      </c>
      <c r="E972">
        <f>IF(OR(A972="",C972=""),"",C972-D972)</f>
        <v/>
      </c>
    </row>
    <row r="973">
      <c r="D973">
        <f>IF(A973="","",SUMIFS(Contributions!E:E,Contributions!B:B,A973))</f>
        <v/>
      </c>
      <c r="E973">
        <f>IF(OR(A973="",C973=""),"",C973-D973)</f>
        <v/>
      </c>
    </row>
    <row r="974">
      <c r="D974">
        <f>IF(A974="","",SUMIFS(Contributions!E:E,Contributions!B:B,A974))</f>
        <v/>
      </c>
      <c r="E974">
        <f>IF(OR(A974="",C974=""),"",C974-D974)</f>
        <v/>
      </c>
    </row>
    <row r="975">
      <c r="D975">
        <f>IF(A975="","",SUMIFS(Contributions!E:E,Contributions!B:B,A975))</f>
        <v/>
      </c>
      <c r="E975">
        <f>IF(OR(A975="",C975=""),"",C975-D975)</f>
        <v/>
      </c>
    </row>
    <row r="976">
      <c r="D976">
        <f>IF(A976="","",SUMIFS(Contributions!E:E,Contributions!B:B,A976))</f>
        <v/>
      </c>
      <c r="E976">
        <f>IF(OR(A976="",C976=""),"",C976-D976)</f>
        <v/>
      </c>
    </row>
    <row r="977">
      <c r="D977">
        <f>IF(A977="","",SUMIFS(Contributions!E:E,Contributions!B:B,A977))</f>
        <v/>
      </c>
      <c r="E977">
        <f>IF(OR(A977="",C977=""),"",C977-D977)</f>
        <v/>
      </c>
    </row>
    <row r="978">
      <c r="D978">
        <f>IF(A978="","",SUMIFS(Contributions!E:E,Contributions!B:B,A978))</f>
        <v/>
      </c>
      <c r="E978">
        <f>IF(OR(A978="",C978=""),"",C978-D978)</f>
        <v/>
      </c>
    </row>
    <row r="979">
      <c r="D979">
        <f>IF(A979="","",SUMIFS(Contributions!E:E,Contributions!B:B,A979))</f>
        <v/>
      </c>
      <c r="E979">
        <f>IF(OR(A979="",C979=""),"",C979-D979)</f>
        <v/>
      </c>
    </row>
    <row r="980">
      <c r="D980">
        <f>IF(A980="","",SUMIFS(Contributions!E:E,Contributions!B:B,A980))</f>
        <v/>
      </c>
      <c r="E980">
        <f>IF(OR(A980="",C980=""),"",C980-D980)</f>
        <v/>
      </c>
    </row>
    <row r="981">
      <c r="D981">
        <f>IF(A981="","",SUMIFS(Contributions!E:E,Contributions!B:B,A981))</f>
        <v/>
      </c>
      <c r="E981">
        <f>IF(OR(A981="",C981=""),"",C981-D981)</f>
        <v/>
      </c>
    </row>
    <row r="982">
      <c r="D982">
        <f>IF(A982="","",SUMIFS(Contributions!E:E,Contributions!B:B,A982))</f>
        <v/>
      </c>
      <c r="E982">
        <f>IF(OR(A982="",C982=""),"",C982-D982)</f>
        <v/>
      </c>
    </row>
    <row r="983">
      <c r="D983">
        <f>IF(A983="","",SUMIFS(Contributions!E:E,Contributions!B:B,A983))</f>
        <v/>
      </c>
      <c r="E983">
        <f>IF(OR(A983="",C983=""),"",C983-D983)</f>
        <v/>
      </c>
    </row>
    <row r="984">
      <c r="D984">
        <f>IF(A984="","",SUMIFS(Contributions!E:E,Contributions!B:B,A984))</f>
        <v/>
      </c>
      <c r="E984">
        <f>IF(OR(A984="",C984=""),"",C984-D984)</f>
        <v/>
      </c>
    </row>
    <row r="985">
      <c r="D985">
        <f>IF(A985="","",SUMIFS(Contributions!E:E,Contributions!B:B,A985))</f>
        <v/>
      </c>
      <c r="E985">
        <f>IF(OR(A985="",C985=""),"",C985-D985)</f>
        <v/>
      </c>
    </row>
    <row r="986">
      <c r="D986">
        <f>IF(A986="","",SUMIFS(Contributions!E:E,Contributions!B:B,A986))</f>
        <v/>
      </c>
      <c r="E986">
        <f>IF(OR(A986="",C986=""),"",C986-D986)</f>
        <v/>
      </c>
    </row>
    <row r="987">
      <c r="D987">
        <f>IF(A987="","",SUMIFS(Contributions!E:E,Contributions!B:B,A987))</f>
        <v/>
      </c>
      <c r="E987">
        <f>IF(OR(A987="",C987=""),"",C987-D987)</f>
        <v/>
      </c>
    </row>
    <row r="988">
      <c r="D988">
        <f>IF(A988="","",SUMIFS(Contributions!E:E,Contributions!B:B,A988))</f>
        <v/>
      </c>
      <c r="E988">
        <f>IF(OR(A988="",C988=""),"",C988-D988)</f>
        <v/>
      </c>
    </row>
    <row r="989">
      <c r="D989">
        <f>IF(A989="","",SUMIFS(Contributions!E:E,Contributions!B:B,A989))</f>
        <v/>
      </c>
      <c r="E989">
        <f>IF(OR(A989="",C989=""),"",C989-D989)</f>
        <v/>
      </c>
    </row>
    <row r="990">
      <c r="D990">
        <f>IF(A990="","",SUMIFS(Contributions!E:E,Contributions!B:B,A990))</f>
        <v/>
      </c>
      <c r="E990">
        <f>IF(OR(A990="",C990=""),"",C990-D990)</f>
        <v/>
      </c>
    </row>
    <row r="991">
      <c r="D991">
        <f>IF(A991="","",SUMIFS(Contributions!E:E,Contributions!B:B,A991))</f>
        <v/>
      </c>
      <c r="E991">
        <f>IF(OR(A991="",C991=""),"",C991-D991)</f>
        <v/>
      </c>
    </row>
    <row r="992">
      <c r="D992">
        <f>IF(A992="","",SUMIFS(Contributions!E:E,Contributions!B:B,A992))</f>
        <v/>
      </c>
      <c r="E992">
        <f>IF(OR(A992="",C992=""),"",C992-D992)</f>
        <v/>
      </c>
    </row>
    <row r="993">
      <c r="D993">
        <f>IF(A993="","",SUMIFS(Contributions!E:E,Contributions!B:B,A993))</f>
        <v/>
      </c>
      <c r="E993">
        <f>IF(OR(A993="",C993=""),"",C993-D993)</f>
        <v/>
      </c>
    </row>
    <row r="994">
      <c r="D994">
        <f>IF(A994="","",SUMIFS(Contributions!E:E,Contributions!B:B,A994))</f>
        <v/>
      </c>
      <c r="E994">
        <f>IF(OR(A994="",C994=""),"",C994-D994)</f>
        <v/>
      </c>
    </row>
    <row r="995">
      <c r="D995">
        <f>IF(A995="","",SUMIFS(Contributions!E:E,Contributions!B:B,A995))</f>
        <v/>
      </c>
      <c r="E995">
        <f>IF(OR(A995="",C995=""),"",C995-D995)</f>
        <v/>
      </c>
    </row>
    <row r="996">
      <c r="D996">
        <f>IF(A996="","",SUMIFS(Contributions!E:E,Contributions!B:B,A996))</f>
        <v/>
      </c>
      <c r="E996">
        <f>IF(OR(A996="",C996=""),"",C996-D996)</f>
        <v/>
      </c>
    </row>
    <row r="997">
      <c r="D997">
        <f>IF(A997="","",SUMIFS(Contributions!E:E,Contributions!B:B,A997))</f>
        <v/>
      </c>
      <c r="E997">
        <f>IF(OR(A997="",C997=""),"",C997-D997)</f>
        <v/>
      </c>
    </row>
    <row r="998">
      <c r="D998">
        <f>IF(A998="","",SUMIFS(Contributions!E:E,Contributions!B:B,A998))</f>
        <v/>
      </c>
      <c r="E998">
        <f>IF(OR(A998="",C998=""),"",C998-D998)</f>
        <v/>
      </c>
    </row>
    <row r="999">
      <c r="D999">
        <f>IF(A999="","",SUMIFS(Contributions!E:E,Contributions!B:B,A999))</f>
        <v/>
      </c>
      <c r="E999">
        <f>IF(OR(A999="",C999=""),"",C999-D999)</f>
        <v/>
      </c>
    </row>
    <row r="1000">
      <c r="D1000">
        <f>IF(A1000="","",SUMIFS(Contributions!E:E,Contributions!B:B,A1000))</f>
        <v/>
      </c>
      <c r="E1000">
        <f>IF(OR(A1000="",C1000=""),"",C1000-D1000)</f>
        <v/>
      </c>
    </row>
  </sheetData>
  <dataValidations count="1">
    <dataValidation sqref="A2:A1000" showDropDown="0" showInputMessage="0" showErrorMessage="0" allowBlank="1" type="list">
      <formula1>=Batches!$A$2:$A$1000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Batch_ID</t>
        </is>
      </c>
      <c r="B1" s="1" t="inlineStr">
        <is>
          <t>Member_ID</t>
        </is>
      </c>
      <c r="C1" s="1" t="inlineStr">
        <is>
          <t>Principal</t>
        </is>
      </c>
      <c r="D1" s="1" t="inlineStr">
        <is>
          <t>Batch_Principal</t>
        </is>
      </c>
      <c r="E1" s="1" t="inlineStr">
        <is>
          <t>Batch_Profit</t>
        </is>
      </c>
      <c r="F1" s="1" t="inlineStr">
        <is>
          <t>Member_Profit</t>
        </is>
      </c>
      <c r="G1" s="1" t="inlineStr">
        <is>
          <t>Gross_Payout</t>
        </is>
      </c>
      <c r="H1" s="1" t="inlineStr">
        <is>
          <t>Reinvested</t>
        </is>
      </c>
      <c r="I1" s="1" t="inlineStr">
        <is>
          <t>Cashout</t>
        </is>
      </c>
    </row>
    <row r="2">
      <c r="A2">
        <f>IFERROR(UNIQUE(FILTER(Contributions!B2:C10000,(Contributions!B2:B10000&lt;&gt;"")*(Contributions!C2:C10000&lt;&gt;""))),"")</f>
        <v/>
      </c>
      <c r="C2">
        <f>IF($A2="","",SUMIFS(Contributions!E:E,Contributions!B:B,$A2,Contributions!C:C,$B2))</f>
        <v/>
      </c>
      <c r="D2">
        <f>IF($A2="","",SUMIFS(Contributions!E:E,Contributions!B:B,$A2))</f>
        <v/>
      </c>
      <c r="E2">
        <f>IF($A2="","",XLOOKUP($A2,Returns!A:A,Returns!E:E))</f>
        <v/>
      </c>
      <c r="F2">
        <f>IF(OR($A2="",D2=0),"",C2/D2*E2)</f>
        <v/>
      </c>
      <c r="G2">
        <f>IF($A2="","",C2+F2)</f>
        <v/>
      </c>
      <c r="H2">
        <f>IF($A2="","",SUMIFS(Contributions!E:E,Contributions!C:C,$B2,Contributions!F:F,"Reinvest",Contributions!G:G,$A2))</f>
        <v/>
      </c>
      <c r="I2">
        <f>IF($A2="","",G2-H2)</f>
        <v/>
      </c>
    </row>
    <row r="3">
      <c r="C3">
        <f>IF($A3="","",SUMIFS(Contributions!E:E,Contributions!B:B,$A3,Contributions!C:C,$B3))</f>
        <v/>
      </c>
      <c r="D3">
        <f>IF($A3="","",SUMIFS(Contributions!E:E,Contributions!B:B,$A3))</f>
        <v/>
      </c>
      <c r="E3">
        <f>IF($A3="","",XLOOKUP($A3,Returns!A:A,Returns!E:E))</f>
        <v/>
      </c>
      <c r="F3">
        <f>IF(OR($A3="",D3=0),"",C3/D3*E3)</f>
        <v/>
      </c>
      <c r="G3">
        <f>IF($A3="","",C3+F3)</f>
        <v/>
      </c>
      <c r="H3">
        <f>IF($A3="","",SUMIFS(Contributions!E:E,Contributions!C:C,$B3,Contributions!F:F,"Reinvest",Contributions!G:G,$A3))</f>
        <v/>
      </c>
      <c r="I3">
        <f>IF($A3="","",G3-H3)</f>
        <v/>
      </c>
    </row>
    <row r="4">
      <c r="C4">
        <f>IF($A4="","",SUMIFS(Contributions!E:E,Contributions!B:B,$A4,Contributions!C:C,$B4))</f>
        <v/>
      </c>
      <c r="D4">
        <f>IF($A4="","",SUMIFS(Contributions!E:E,Contributions!B:B,$A4))</f>
        <v/>
      </c>
      <c r="E4">
        <f>IF($A4="","",XLOOKUP($A4,Returns!A:A,Returns!E:E))</f>
        <v/>
      </c>
      <c r="F4">
        <f>IF(OR($A4="",D4=0),"",C4/D4*E4)</f>
        <v/>
      </c>
      <c r="G4">
        <f>IF($A4="","",C4+F4)</f>
        <v/>
      </c>
      <c r="H4">
        <f>IF($A4="","",SUMIFS(Contributions!E:E,Contributions!C:C,$B4,Contributions!F:F,"Reinvest",Contributions!G:G,$A4))</f>
        <v/>
      </c>
      <c r="I4">
        <f>IF($A4="","",G4-H4)</f>
        <v/>
      </c>
    </row>
    <row r="5">
      <c r="C5">
        <f>IF($A5="","",SUMIFS(Contributions!E:E,Contributions!B:B,$A5,Contributions!C:C,$B5))</f>
        <v/>
      </c>
      <c r="D5">
        <f>IF($A5="","",SUMIFS(Contributions!E:E,Contributions!B:B,$A5))</f>
        <v/>
      </c>
      <c r="E5">
        <f>IF($A5="","",XLOOKUP($A5,Returns!A:A,Returns!E:E))</f>
        <v/>
      </c>
      <c r="F5">
        <f>IF(OR($A5="",D5=0),"",C5/D5*E5)</f>
        <v/>
      </c>
      <c r="G5">
        <f>IF($A5="","",C5+F5)</f>
        <v/>
      </c>
      <c r="H5">
        <f>IF($A5="","",SUMIFS(Contributions!E:E,Contributions!C:C,$B5,Contributions!F:F,"Reinvest",Contributions!G:G,$A5))</f>
        <v/>
      </c>
      <c r="I5">
        <f>IF($A5="","",G5-H5)</f>
        <v/>
      </c>
    </row>
    <row r="6">
      <c r="C6">
        <f>IF($A6="","",SUMIFS(Contributions!E:E,Contributions!B:B,$A6,Contributions!C:C,$B6))</f>
        <v/>
      </c>
      <c r="D6">
        <f>IF($A6="","",SUMIFS(Contributions!E:E,Contributions!B:B,$A6))</f>
        <v/>
      </c>
      <c r="E6">
        <f>IF($A6="","",XLOOKUP($A6,Returns!A:A,Returns!E:E))</f>
        <v/>
      </c>
      <c r="F6">
        <f>IF(OR($A6="",D6=0),"",C6/D6*E6)</f>
        <v/>
      </c>
      <c r="G6">
        <f>IF($A6="","",C6+F6)</f>
        <v/>
      </c>
      <c r="H6">
        <f>IF($A6="","",SUMIFS(Contributions!E:E,Contributions!C:C,$B6,Contributions!F:F,"Reinvest",Contributions!G:G,$A6))</f>
        <v/>
      </c>
      <c r="I6">
        <f>IF($A6="","",G6-H6)</f>
        <v/>
      </c>
    </row>
    <row r="7">
      <c r="C7">
        <f>IF($A7="","",SUMIFS(Contributions!E:E,Contributions!B:B,$A7,Contributions!C:C,$B7))</f>
        <v/>
      </c>
      <c r="D7">
        <f>IF($A7="","",SUMIFS(Contributions!E:E,Contributions!B:B,$A7))</f>
        <v/>
      </c>
      <c r="E7">
        <f>IF($A7="","",XLOOKUP($A7,Returns!A:A,Returns!E:E))</f>
        <v/>
      </c>
      <c r="F7">
        <f>IF(OR($A7="",D7=0),"",C7/D7*E7)</f>
        <v/>
      </c>
      <c r="G7">
        <f>IF($A7="","",C7+F7)</f>
        <v/>
      </c>
      <c r="H7">
        <f>IF($A7="","",SUMIFS(Contributions!E:E,Contributions!C:C,$B7,Contributions!F:F,"Reinvest",Contributions!G:G,$A7))</f>
        <v/>
      </c>
      <c r="I7">
        <f>IF($A7="","",G7-H7)</f>
        <v/>
      </c>
    </row>
    <row r="8">
      <c r="C8">
        <f>IF($A8="","",SUMIFS(Contributions!E:E,Contributions!B:B,$A8,Contributions!C:C,$B8))</f>
        <v/>
      </c>
      <c r="D8">
        <f>IF($A8="","",SUMIFS(Contributions!E:E,Contributions!B:B,$A8))</f>
        <v/>
      </c>
      <c r="E8">
        <f>IF($A8="","",XLOOKUP($A8,Returns!A:A,Returns!E:E))</f>
        <v/>
      </c>
      <c r="F8">
        <f>IF(OR($A8="",D8=0),"",C8/D8*E8)</f>
        <v/>
      </c>
      <c r="G8">
        <f>IF($A8="","",C8+F8)</f>
        <v/>
      </c>
      <c r="H8">
        <f>IF($A8="","",SUMIFS(Contributions!E:E,Contributions!C:C,$B8,Contributions!F:F,"Reinvest",Contributions!G:G,$A8))</f>
        <v/>
      </c>
      <c r="I8">
        <f>IF($A8="","",G8-H8)</f>
        <v/>
      </c>
    </row>
    <row r="9">
      <c r="C9">
        <f>IF($A9="","",SUMIFS(Contributions!E:E,Contributions!B:B,$A9,Contributions!C:C,$B9))</f>
        <v/>
      </c>
      <c r="D9">
        <f>IF($A9="","",SUMIFS(Contributions!E:E,Contributions!B:B,$A9))</f>
        <v/>
      </c>
      <c r="E9">
        <f>IF($A9="","",XLOOKUP($A9,Returns!A:A,Returns!E:E))</f>
        <v/>
      </c>
      <c r="F9">
        <f>IF(OR($A9="",D9=0),"",C9/D9*E9)</f>
        <v/>
      </c>
      <c r="G9">
        <f>IF($A9="","",C9+F9)</f>
        <v/>
      </c>
      <c r="H9">
        <f>IF($A9="","",SUMIFS(Contributions!E:E,Contributions!C:C,$B9,Contributions!F:F,"Reinvest",Contributions!G:G,$A9))</f>
        <v/>
      </c>
      <c r="I9">
        <f>IF($A9="","",G9-H9)</f>
        <v/>
      </c>
    </row>
    <row r="10">
      <c r="C10">
        <f>IF($A10="","",SUMIFS(Contributions!E:E,Contributions!B:B,$A10,Contributions!C:C,$B10))</f>
        <v/>
      </c>
      <c r="D10">
        <f>IF($A10="","",SUMIFS(Contributions!E:E,Contributions!B:B,$A10))</f>
        <v/>
      </c>
      <c r="E10">
        <f>IF($A10="","",XLOOKUP($A10,Returns!A:A,Returns!E:E))</f>
        <v/>
      </c>
      <c r="F10">
        <f>IF(OR($A10="",D10=0),"",C10/D10*E10)</f>
        <v/>
      </c>
      <c r="G10">
        <f>IF($A10="","",C10+F10)</f>
        <v/>
      </c>
      <c r="H10">
        <f>IF($A10="","",SUMIFS(Contributions!E:E,Contributions!C:C,$B10,Contributions!F:F,"Reinvest",Contributions!G:G,$A10))</f>
        <v/>
      </c>
      <c r="I10">
        <f>IF($A10="","",G10-H10)</f>
        <v/>
      </c>
    </row>
    <row r="11">
      <c r="C11">
        <f>IF($A11="","",SUMIFS(Contributions!E:E,Contributions!B:B,$A11,Contributions!C:C,$B11))</f>
        <v/>
      </c>
      <c r="D11">
        <f>IF($A11="","",SUMIFS(Contributions!E:E,Contributions!B:B,$A11))</f>
        <v/>
      </c>
      <c r="E11">
        <f>IF($A11="","",XLOOKUP($A11,Returns!A:A,Returns!E:E))</f>
        <v/>
      </c>
      <c r="F11">
        <f>IF(OR($A11="",D11=0),"",C11/D11*E11)</f>
        <v/>
      </c>
      <c r="G11">
        <f>IF($A11="","",C11+F11)</f>
        <v/>
      </c>
      <c r="H11">
        <f>IF($A11="","",SUMIFS(Contributions!E:E,Contributions!C:C,$B11,Contributions!F:F,"Reinvest",Contributions!G:G,$A11))</f>
        <v/>
      </c>
      <c r="I11">
        <f>IF($A11="","",G11-H11)</f>
        <v/>
      </c>
    </row>
    <row r="12">
      <c r="C12">
        <f>IF($A12="","",SUMIFS(Contributions!E:E,Contributions!B:B,$A12,Contributions!C:C,$B12))</f>
        <v/>
      </c>
      <c r="D12">
        <f>IF($A12="","",SUMIFS(Contributions!E:E,Contributions!B:B,$A12))</f>
        <v/>
      </c>
      <c r="E12">
        <f>IF($A12="","",XLOOKUP($A12,Returns!A:A,Returns!E:E))</f>
        <v/>
      </c>
      <c r="F12">
        <f>IF(OR($A12="",D12=0),"",C12/D12*E12)</f>
        <v/>
      </c>
      <c r="G12">
        <f>IF($A12="","",C12+F12)</f>
        <v/>
      </c>
      <c r="H12">
        <f>IF($A12="","",SUMIFS(Contributions!E:E,Contributions!C:C,$B12,Contributions!F:F,"Reinvest",Contributions!G:G,$A12))</f>
        <v/>
      </c>
      <c r="I12">
        <f>IF($A12="","",G12-H12)</f>
        <v/>
      </c>
    </row>
    <row r="13">
      <c r="C13">
        <f>IF($A13="","",SUMIFS(Contributions!E:E,Contributions!B:B,$A13,Contributions!C:C,$B13))</f>
        <v/>
      </c>
      <c r="D13">
        <f>IF($A13="","",SUMIFS(Contributions!E:E,Contributions!B:B,$A13))</f>
        <v/>
      </c>
      <c r="E13">
        <f>IF($A13="","",XLOOKUP($A13,Returns!A:A,Returns!E:E))</f>
        <v/>
      </c>
      <c r="F13">
        <f>IF(OR($A13="",D13=0),"",C13/D13*E13)</f>
        <v/>
      </c>
      <c r="G13">
        <f>IF($A13="","",C13+F13)</f>
        <v/>
      </c>
      <c r="H13">
        <f>IF($A13="","",SUMIFS(Contributions!E:E,Contributions!C:C,$B13,Contributions!F:F,"Reinvest",Contributions!G:G,$A13))</f>
        <v/>
      </c>
      <c r="I13">
        <f>IF($A13="","",G13-H13)</f>
        <v/>
      </c>
    </row>
    <row r="14">
      <c r="C14">
        <f>IF($A14="","",SUMIFS(Contributions!E:E,Contributions!B:B,$A14,Contributions!C:C,$B14))</f>
        <v/>
      </c>
      <c r="D14">
        <f>IF($A14="","",SUMIFS(Contributions!E:E,Contributions!B:B,$A14))</f>
        <v/>
      </c>
      <c r="E14">
        <f>IF($A14="","",XLOOKUP($A14,Returns!A:A,Returns!E:E))</f>
        <v/>
      </c>
      <c r="F14">
        <f>IF(OR($A14="",D14=0),"",C14/D14*E14)</f>
        <v/>
      </c>
      <c r="G14">
        <f>IF($A14="","",C14+F14)</f>
        <v/>
      </c>
      <c r="H14">
        <f>IF($A14="","",SUMIFS(Contributions!E:E,Contributions!C:C,$B14,Contributions!F:F,"Reinvest",Contributions!G:G,$A14))</f>
        <v/>
      </c>
      <c r="I14">
        <f>IF($A14="","",G14-H14)</f>
        <v/>
      </c>
    </row>
    <row r="15">
      <c r="C15">
        <f>IF($A15="","",SUMIFS(Contributions!E:E,Contributions!B:B,$A15,Contributions!C:C,$B15))</f>
        <v/>
      </c>
      <c r="D15">
        <f>IF($A15="","",SUMIFS(Contributions!E:E,Contributions!B:B,$A15))</f>
        <v/>
      </c>
      <c r="E15">
        <f>IF($A15="","",XLOOKUP($A15,Returns!A:A,Returns!E:E))</f>
        <v/>
      </c>
      <c r="F15">
        <f>IF(OR($A15="",D15=0),"",C15/D15*E15)</f>
        <v/>
      </c>
      <c r="G15">
        <f>IF($A15="","",C15+F15)</f>
        <v/>
      </c>
      <c r="H15">
        <f>IF($A15="","",SUMIFS(Contributions!E:E,Contributions!C:C,$B15,Contributions!F:F,"Reinvest",Contributions!G:G,$A15))</f>
        <v/>
      </c>
      <c r="I15">
        <f>IF($A15="","",G15-H15)</f>
        <v/>
      </c>
    </row>
    <row r="16">
      <c r="C16">
        <f>IF($A16="","",SUMIFS(Contributions!E:E,Contributions!B:B,$A16,Contributions!C:C,$B16))</f>
        <v/>
      </c>
      <c r="D16">
        <f>IF($A16="","",SUMIFS(Contributions!E:E,Contributions!B:B,$A16))</f>
        <v/>
      </c>
      <c r="E16">
        <f>IF($A16="","",XLOOKUP($A16,Returns!A:A,Returns!E:E))</f>
        <v/>
      </c>
      <c r="F16">
        <f>IF(OR($A16="",D16=0),"",C16/D16*E16)</f>
        <v/>
      </c>
      <c r="G16">
        <f>IF($A16="","",C16+F16)</f>
        <v/>
      </c>
      <c r="H16">
        <f>IF($A16="","",SUMIFS(Contributions!E:E,Contributions!C:C,$B16,Contributions!F:F,"Reinvest",Contributions!G:G,$A16))</f>
        <v/>
      </c>
      <c r="I16">
        <f>IF($A16="","",G16-H16)</f>
        <v/>
      </c>
    </row>
    <row r="17">
      <c r="C17">
        <f>IF($A17="","",SUMIFS(Contributions!E:E,Contributions!B:B,$A17,Contributions!C:C,$B17))</f>
        <v/>
      </c>
      <c r="D17">
        <f>IF($A17="","",SUMIFS(Contributions!E:E,Contributions!B:B,$A17))</f>
        <v/>
      </c>
      <c r="E17">
        <f>IF($A17="","",XLOOKUP($A17,Returns!A:A,Returns!E:E))</f>
        <v/>
      </c>
      <c r="F17">
        <f>IF(OR($A17="",D17=0),"",C17/D17*E17)</f>
        <v/>
      </c>
      <c r="G17">
        <f>IF($A17="","",C17+F17)</f>
        <v/>
      </c>
      <c r="H17">
        <f>IF($A17="","",SUMIFS(Contributions!E:E,Contributions!C:C,$B17,Contributions!F:F,"Reinvest",Contributions!G:G,$A17))</f>
        <v/>
      </c>
      <c r="I17">
        <f>IF($A17="","",G17-H17)</f>
        <v/>
      </c>
    </row>
    <row r="18">
      <c r="C18">
        <f>IF($A18="","",SUMIFS(Contributions!E:E,Contributions!B:B,$A18,Contributions!C:C,$B18))</f>
        <v/>
      </c>
      <c r="D18">
        <f>IF($A18="","",SUMIFS(Contributions!E:E,Contributions!B:B,$A18))</f>
        <v/>
      </c>
      <c r="E18">
        <f>IF($A18="","",XLOOKUP($A18,Returns!A:A,Returns!E:E))</f>
        <v/>
      </c>
      <c r="F18">
        <f>IF(OR($A18="",D18=0),"",C18/D18*E18)</f>
        <v/>
      </c>
      <c r="G18">
        <f>IF($A18="","",C18+F18)</f>
        <v/>
      </c>
      <c r="H18">
        <f>IF($A18="","",SUMIFS(Contributions!E:E,Contributions!C:C,$B18,Contributions!F:F,"Reinvest",Contributions!G:G,$A18))</f>
        <v/>
      </c>
      <c r="I18">
        <f>IF($A18="","",G18-H18)</f>
        <v/>
      </c>
    </row>
    <row r="19">
      <c r="C19">
        <f>IF($A19="","",SUMIFS(Contributions!E:E,Contributions!B:B,$A19,Contributions!C:C,$B19))</f>
        <v/>
      </c>
      <c r="D19">
        <f>IF($A19="","",SUMIFS(Contributions!E:E,Contributions!B:B,$A19))</f>
        <v/>
      </c>
      <c r="E19">
        <f>IF($A19="","",XLOOKUP($A19,Returns!A:A,Returns!E:E))</f>
        <v/>
      </c>
      <c r="F19">
        <f>IF(OR($A19="",D19=0),"",C19/D19*E19)</f>
        <v/>
      </c>
      <c r="G19">
        <f>IF($A19="","",C19+F19)</f>
        <v/>
      </c>
      <c r="H19">
        <f>IF($A19="","",SUMIFS(Contributions!E:E,Contributions!C:C,$B19,Contributions!F:F,"Reinvest",Contributions!G:G,$A19))</f>
        <v/>
      </c>
      <c r="I19">
        <f>IF($A19="","",G19-H19)</f>
        <v/>
      </c>
    </row>
    <row r="20">
      <c r="C20">
        <f>IF($A20="","",SUMIFS(Contributions!E:E,Contributions!B:B,$A20,Contributions!C:C,$B20))</f>
        <v/>
      </c>
      <c r="D20">
        <f>IF($A20="","",SUMIFS(Contributions!E:E,Contributions!B:B,$A20))</f>
        <v/>
      </c>
      <c r="E20">
        <f>IF($A20="","",XLOOKUP($A20,Returns!A:A,Returns!E:E))</f>
        <v/>
      </c>
      <c r="F20">
        <f>IF(OR($A20="",D20=0),"",C20/D20*E20)</f>
        <v/>
      </c>
      <c r="G20">
        <f>IF($A20="","",C20+F20)</f>
        <v/>
      </c>
      <c r="H20">
        <f>IF($A20="","",SUMIFS(Contributions!E:E,Contributions!C:C,$B20,Contributions!F:F,"Reinvest",Contributions!G:G,$A20))</f>
        <v/>
      </c>
      <c r="I20">
        <f>IF($A20="","",G20-H20)</f>
        <v/>
      </c>
    </row>
    <row r="21">
      <c r="C21">
        <f>IF($A21="","",SUMIFS(Contributions!E:E,Contributions!B:B,$A21,Contributions!C:C,$B21))</f>
        <v/>
      </c>
      <c r="D21">
        <f>IF($A21="","",SUMIFS(Contributions!E:E,Contributions!B:B,$A21))</f>
        <v/>
      </c>
      <c r="E21">
        <f>IF($A21="","",XLOOKUP($A21,Returns!A:A,Returns!E:E))</f>
        <v/>
      </c>
      <c r="F21">
        <f>IF(OR($A21="",D21=0),"",C21/D21*E21)</f>
        <v/>
      </c>
      <c r="G21">
        <f>IF($A21="","",C21+F21)</f>
        <v/>
      </c>
      <c r="H21">
        <f>IF($A21="","",SUMIFS(Contributions!E:E,Contributions!C:C,$B21,Contributions!F:F,"Reinvest",Contributions!G:G,$A21))</f>
        <v/>
      </c>
      <c r="I21">
        <f>IF($A21="","",G21-H21)</f>
        <v/>
      </c>
    </row>
    <row r="22">
      <c r="C22">
        <f>IF($A22="","",SUMIFS(Contributions!E:E,Contributions!B:B,$A22,Contributions!C:C,$B22))</f>
        <v/>
      </c>
      <c r="D22">
        <f>IF($A22="","",SUMIFS(Contributions!E:E,Contributions!B:B,$A22))</f>
        <v/>
      </c>
      <c r="E22">
        <f>IF($A22="","",XLOOKUP($A22,Returns!A:A,Returns!E:E))</f>
        <v/>
      </c>
      <c r="F22">
        <f>IF(OR($A22="",D22=0),"",C22/D22*E22)</f>
        <v/>
      </c>
      <c r="G22">
        <f>IF($A22="","",C22+F22)</f>
        <v/>
      </c>
      <c r="H22">
        <f>IF($A22="","",SUMIFS(Contributions!E:E,Contributions!C:C,$B22,Contributions!F:F,"Reinvest",Contributions!G:G,$A22))</f>
        <v/>
      </c>
      <c r="I22">
        <f>IF($A22="","",G22-H22)</f>
        <v/>
      </c>
    </row>
    <row r="23">
      <c r="C23">
        <f>IF($A23="","",SUMIFS(Contributions!E:E,Contributions!B:B,$A23,Contributions!C:C,$B23))</f>
        <v/>
      </c>
      <c r="D23">
        <f>IF($A23="","",SUMIFS(Contributions!E:E,Contributions!B:B,$A23))</f>
        <v/>
      </c>
      <c r="E23">
        <f>IF($A23="","",XLOOKUP($A23,Returns!A:A,Returns!E:E))</f>
        <v/>
      </c>
      <c r="F23">
        <f>IF(OR($A23="",D23=0),"",C23/D23*E23)</f>
        <v/>
      </c>
      <c r="G23">
        <f>IF($A23="","",C23+F23)</f>
        <v/>
      </c>
      <c r="H23">
        <f>IF($A23="","",SUMIFS(Contributions!E:E,Contributions!C:C,$B23,Contributions!F:F,"Reinvest",Contributions!G:G,$A23))</f>
        <v/>
      </c>
      <c r="I23">
        <f>IF($A23="","",G23-H23)</f>
        <v/>
      </c>
    </row>
    <row r="24">
      <c r="C24">
        <f>IF($A24="","",SUMIFS(Contributions!E:E,Contributions!B:B,$A24,Contributions!C:C,$B24))</f>
        <v/>
      </c>
      <c r="D24">
        <f>IF($A24="","",SUMIFS(Contributions!E:E,Contributions!B:B,$A24))</f>
        <v/>
      </c>
      <c r="E24">
        <f>IF($A24="","",XLOOKUP($A24,Returns!A:A,Returns!E:E))</f>
        <v/>
      </c>
      <c r="F24">
        <f>IF(OR($A24="",D24=0),"",C24/D24*E24)</f>
        <v/>
      </c>
      <c r="G24">
        <f>IF($A24="","",C24+F24)</f>
        <v/>
      </c>
      <c r="H24">
        <f>IF($A24="","",SUMIFS(Contributions!E:E,Contributions!C:C,$B24,Contributions!F:F,"Reinvest",Contributions!G:G,$A24))</f>
        <v/>
      </c>
      <c r="I24">
        <f>IF($A24="","",G24-H24)</f>
        <v/>
      </c>
    </row>
    <row r="25">
      <c r="C25">
        <f>IF($A25="","",SUMIFS(Contributions!E:E,Contributions!B:B,$A25,Contributions!C:C,$B25))</f>
        <v/>
      </c>
      <c r="D25">
        <f>IF($A25="","",SUMIFS(Contributions!E:E,Contributions!B:B,$A25))</f>
        <v/>
      </c>
      <c r="E25">
        <f>IF($A25="","",XLOOKUP($A25,Returns!A:A,Returns!E:E))</f>
        <v/>
      </c>
      <c r="F25">
        <f>IF(OR($A25="",D25=0),"",C25/D25*E25)</f>
        <v/>
      </c>
      <c r="G25">
        <f>IF($A25="","",C25+F25)</f>
        <v/>
      </c>
      <c r="H25">
        <f>IF($A25="","",SUMIFS(Contributions!E:E,Contributions!C:C,$B25,Contributions!F:F,"Reinvest",Contributions!G:G,$A25))</f>
        <v/>
      </c>
      <c r="I25">
        <f>IF($A25="","",G25-H25)</f>
        <v/>
      </c>
    </row>
    <row r="26">
      <c r="C26">
        <f>IF($A26="","",SUMIFS(Contributions!E:E,Contributions!B:B,$A26,Contributions!C:C,$B26))</f>
        <v/>
      </c>
      <c r="D26">
        <f>IF($A26="","",SUMIFS(Contributions!E:E,Contributions!B:B,$A26))</f>
        <v/>
      </c>
      <c r="E26">
        <f>IF($A26="","",XLOOKUP($A26,Returns!A:A,Returns!E:E))</f>
        <v/>
      </c>
      <c r="F26">
        <f>IF(OR($A26="",D26=0),"",C26/D26*E26)</f>
        <v/>
      </c>
      <c r="G26">
        <f>IF($A26="","",C26+F26)</f>
        <v/>
      </c>
      <c r="H26">
        <f>IF($A26="","",SUMIFS(Contributions!E:E,Contributions!C:C,$B26,Contributions!F:F,"Reinvest",Contributions!G:G,$A26))</f>
        <v/>
      </c>
      <c r="I26">
        <f>IF($A26="","",G26-H26)</f>
        <v/>
      </c>
    </row>
    <row r="27">
      <c r="C27">
        <f>IF($A27="","",SUMIFS(Contributions!E:E,Contributions!B:B,$A27,Contributions!C:C,$B27))</f>
        <v/>
      </c>
      <c r="D27">
        <f>IF($A27="","",SUMIFS(Contributions!E:E,Contributions!B:B,$A27))</f>
        <v/>
      </c>
      <c r="E27">
        <f>IF($A27="","",XLOOKUP($A27,Returns!A:A,Returns!E:E))</f>
        <v/>
      </c>
      <c r="F27">
        <f>IF(OR($A27="",D27=0),"",C27/D27*E27)</f>
        <v/>
      </c>
      <c r="G27">
        <f>IF($A27="","",C27+F27)</f>
        <v/>
      </c>
      <c r="H27">
        <f>IF($A27="","",SUMIFS(Contributions!E:E,Contributions!C:C,$B27,Contributions!F:F,"Reinvest",Contributions!G:G,$A27))</f>
        <v/>
      </c>
      <c r="I27">
        <f>IF($A27="","",G27-H27)</f>
        <v/>
      </c>
    </row>
    <row r="28">
      <c r="C28">
        <f>IF($A28="","",SUMIFS(Contributions!E:E,Contributions!B:B,$A28,Contributions!C:C,$B28))</f>
        <v/>
      </c>
      <c r="D28">
        <f>IF($A28="","",SUMIFS(Contributions!E:E,Contributions!B:B,$A28))</f>
        <v/>
      </c>
      <c r="E28">
        <f>IF($A28="","",XLOOKUP($A28,Returns!A:A,Returns!E:E))</f>
        <v/>
      </c>
      <c r="F28">
        <f>IF(OR($A28="",D28=0),"",C28/D28*E28)</f>
        <v/>
      </c>
      <c r="G28">
        <f>IF($A28="","",C28+F28)</f>
        <v/>
      </c>
      <c r="H28">
        <f>IF($A28="","",SUMIFS(Contributions!E:E,Contributions!C:C,$B28,Contributions!F:F,"Reinvest",Contributions!G:G,$A28))</f>
        <v/>
      </c>
      <c r="I28">
        <f>IF($A28="","",G28-H28)</f>
        <v/>
      </c>
    </row>
    <row r="29">
      <c r="C29">
        <f>IF($A29="","",SUMIFS(Contributions!E:E,Contributions!B:B,$A29,Contributions!C:C,$B29))</f>
        <v/>
      </c>
      <c r="D29">
        <f>IF($A29="","",SUMIFS(Contributions!E:E,Contributions!B:B,$A29))</f>
        <v/>
      </c>
      <c r="E29">
        <f>IF($A29="","",XLOOKUP($A29,Returns!A:A,Returns!E:E))</f>
        <v/>
      </c>
      <c r="F29">
        <f>IF(OR($A29="",D29=0),"",C29/D29*E29)</f>
        <v/>
      </c>
      <c r="G29">
        <f>IF($A29="","",C29+F29)</f>
        <v/>
      </c>
      <c r="H29">
        <f>IF($A29="","",SUMIFS(Contributions!E:E,Contributions!C:C,$B29,Contributions!F:F,"Reinvest",Contributions!G:G,$A29))</f>
        <v/>
      </c>
      <c r="I29">
        <f>IF($A29="","",G29-H29)</f>
        <v/>
      </c>
    </row>
    <row r="30">
      <c r="C30">
        <f>IF($A30="","",SUMIFS(Contributions!E:E,Contributions!B:B,$A30,Contributions!C:C,$B30))</f>
        <v/>
      </c>
      <c r="D30">
        <f>IF($A30="","",SUMIFS(Contributions!E:E,Contributions!B:B,$A30))</f>
        <v/>
      </c>
      <c r="E30">
        <f>IF($A30="","",XLOOKUP($A30,Returns!A:A,Returns!E:E))</f>
        <v/>
      </c>
      <c r="F30">
        <f>IF(OR($A30="",D30=0),"",C30/D30*E30)</f>
        <v/>
      </c>
      <c r="G30">
        <f>IF($A30="","",C30+F30)</f>
        <v/>
      </c>
      <c r="H30">
        <f>IF($A30="","",SUMIFS(Contributions!E:E,Contributions!C:C,$B30,Contributions!F:F,"Reinvest",Contributions!G:G,$A30))</f>
        <v/>
      </c>
      <c r="I30">
        <f>IF($A30="","",G30-H30)</f>
        <v/>
      </c>
    </row>
    <row r="31">
      <c r="C31">
        <f>IF($A31="","",SUMIFS(Contributions!E:E,Contributions!B:B,$A31,Contributions!C:C,$B31))</f>
        <v/>
      </c>
      <c r="D31">
        <f>IF($A31="","",SUMIFS(Contributions!E:E,Contributions!B:B,$A31))</f>
        <v/>
      </c>
      <c r="E31">
        <f>IF($A31="","",XLOOKUP($A31,Returns!A:A,Returns!E:E))</f>
        <v/>
      </c>
      <c r="F31">
        <f>IF(OR($A31="",D31=0),"",C31/D31*E31)</f>
        <v/>
      </c>
      <c r="G31">
        <f>IF($A31="","",C31+F31)</f>
        <v/>
      </c>
      <c r="H31">
        <f>IF($A31="","",SUMIFS(Contributions!E:E,Contributions!C:C,$B31,Contributions!F:F,"Reinvest",Contributions!G:G,$A31))</f>
        <v/>
      </c>
      <c r="I31">
        <f>IF($A31="","",G31-H31)</f>
        <v/>
      </c>
    </row>
    <row r="32">
      <c r="C32">
        <f>IF($A32="","",SUMIFS(Contributions!E:E,Contributions!B:B,$A32,Contributions!C:C,$B32))</f>
        <v/>
      </c>
      <c r="D32">
        <f>IF($A32="","",SUMIFS(Contributions!E:E,Contributions!B:B,$A32))</f>
        <v/>
      </c>
      <c r="E32">
        <f>IF($A32="","",XLOOKUP($A32,Returns!A:A,Returns!E:E))</f>
        <v/>
      </c>
      <c r="F32">
        <f>IF(OR($A32="",D32=0),"",C32/D32*E32)</f>
        <v/>
      </c>
      <c r="G32">
        <f>IF($A32="","",C32+F32)</f>
        <v/>
      </c>
      <c r="H32">
        <f>IF($A32="","",SUMIFS(Contributions!E:E,Contributions!C:C,$B32,Contributions!F:F,"Reinvest",Contributions!G:G,$A32))</f>
        <v/>
      </c>
      <c r="I32">
        <f>IF($A32="","",G32-H32)</f>
        <v/>
      </c>
    </row>
    <row r="33">
      <c r="C33">
        <f>IF($A33="","",SUMIFS(Contributions!E:E,Contributions!B:B,$A33,Contributions!C:C,$B33))</f>
        <v/>
      </c>
      <c r="D33">
        <f>IF($A33="","",SUMIFS(Contributions!E:E,Contributions!B:B,$A33))</f>
        <v/>
      </c>
      <c r="E33">
        <f>IF($A33="","",XLOOKUP($A33,Returns!A:A,Returns!E:E))</f>
        <v/>
      </c>
      <c r="F33">
        <f>IF(OR($A33="",D33=0),"",C33/D33*E33)</f>
        <v/>
      </c>
      <c r="G33">
        <f>IF($A33="","",C33+F33)</f>
        <v/>
      </c>
      <c r="H33">
        <f>IF($A33="","",SUMIFS(Contributions!E:E,Contributions!C:C,$B33,Contributions!F:F,"Reinvest",Contributions!G:G,$A33))</f>
        <v/>
      </c>
      <c r="I33">
        <f>IF($A33="","",G33-H33)</f>
        <v/>
      </c>
    </row>
    <row r="34">
      <c r="C34">
        <f>IF($A34="","",SUMIFS(Contributions!E:E,Contributions!B:B,$A34,Contributions!C:C,$B34))</f>
        <v/>
      </c>
      <c r="D34">
        <f>IF($A34="","",SUMIFS(Contributions!E:E,Contributions!B:B,$A34))</f>
        <v/>
      </c>
      <c r="E34">
        <f>IF($A34="","",XLOOKUP($A34,Returns!A:A,Returns!E:E))</f>
        <v/>
      </c>
      <c r="F34">
        <f>IF(OR($A34="",D34=0),"",C34/D34*E34)</f>
        <v/>
      </c>
      <c r="G34">
        <f>IF($A34="","",C34+F34)</f>
        <v/>
      </c>
      <c r="H34">
        <f>IF($A34="","",SUMIFS(Contributions!E:E,Contributions!C:C,$B34,Contributions!F:F,"Reinvest",Contributions!G:G,$A34))</f>
        <v/>
      </c>
      <c r="I34">
        <f>IF($A34="","",G34-H34)</f>
        <v/>
      </c>
    </row>
    <row r="35">
      <c r="C35">
        <f>IF($A35="","",SUMIFS(Contributions!E:E,Contributions!B:B,$A35,Contributions!C:C,$B35))</f>
        <v/>
      </c>
      <c r="D35">
        <f>IF($A35="","",SUMIFS(Contributions!E:E,Contributions!B:B,$A35))</f>
        <v/>
      </c>
      <c r="E35">
        <f>IF($A35="","",XLOOKUP($A35,Returns!A:A,Returns!E:E))</f>
        <v/>
      </c>
      <c r="F35">
        <f>IF(OR($A35="",D35=0),"",C35/D35*E35)</f>
        <v/>
      </c>
      <c r="G35">
        <f>IF($A35="","",C35+F35)</f>
        <v/>
      </c>
      <c r="H35">
        <f>IF($A35="","",SUMIFS(Contributions!E:E,Contributions!C:C,$B35,Contributions!F:F,"Reinvest",Contributions!G:G,$A35))</f>
        <v/>
      </c>
      <c r="I35">
        <f>IF($A35="","",G35-H35)</f>
        <v/>
      </c>
    </row>
    <row r="36">
      <c r="C36">
        <f>IF($A36="","",SUMIFS(Contributions!E:E,Contributions!B:B,$A36,Contributions!C:C,$B36))</f>
        <v/>
      </c>
      <c r="D36">
        <f>IF($A36="","",SUMIFS(Contributions!E:E,Contributions!B:B,$A36))</f>
        <v/>
      </c>
      <c r="E36">
        <f>IF($A36="","",XLOOKUP($A36,Returns!A:A,Returns!E:E))</f>
        <v/>
      </c>
      <c r="F36">
        <f>IF(OR($A36="",D36=0),"",C36/D36*E36)</f>
        <v/>
      </c>
      <c r="G36">
        <f>IF($A36="","",C36+F36)</f>
        <v/>
      </c>
      <c r="H36">
        <f>IF($A36="","",SUMIFS(Contributions!E:E,Contributions!C:C,$B36,Contributions!F:F,"Reinvest",Contributions!G:G,$A36))</f>
        <v/>
      </c>
      <c r="I36">
        <f>IF($A36="","",G36-H36)</f>
        <v/>
      </c>
    </row>
    <row r="37">
      <c r="C37">
        <f>IF($A37="","",SUMIFS(Contributions!E:E,Contributions!B:B,$A37,Contributions!C:C,$B37))</f>
        <v/>
      </c>
      <c r="D37">
        <f>IF($A37="","",SUMIFS(Contributions!E:E,Contributions!B:B,$A37))</f>
        <v/>
      </c>
      <c r="E37">
        <f>IF($A37="","",XLOOKUP($A37,Returns!A:A,Returns!E:E))</f>
        <v/>
      </c>
      <c r="F37">
        <f>IF(OR($A37="",D37=0),"",C37/D37*E37)</f>
        <v/>
      </c>
      <c r="G37">
        <f>IF($A37="","",C37+F37)</f>
        <v/>
      </c>
      <c r="H37">
        <f>IF($A37="","",SUMIFS(Contributions!E:E,Contributions!C:C,$B37,Contributions!F:F,"Reinvest",Contributions!G:G,$A37))</f>
        <v/>
      </c>
      <c r="I37">
        <f>IF($A37="","",G37-H37)</f>
        <v/>
      </c>
    </row>
    <row r="38">
      <c r="C38">
        <f>IF($A38="","",SUMIFS(Contributions!E:E,Contributions!B:B,$A38,Contributions!C:C,$B38))</f>
        <v/>
      </c>
      <c r="D38">
        <f>IF($A38="","",SUMIFS(Contributions!E:E,Contributions!B:B,$A38))</f>
        <v/>
      </c>
      <c r="E38">
        <f>IF($A38="","",XLOOKUP($A38,Returns!A:A,Returns!E:E))</f>
        <v/>
      </c>
      <c r="F38">
        <f>IF(OR($A38="",D38=0),"",C38/D38*E38)</f>
        <v/>
      </c>
      <c r="G38">
        <f>IF($A38="","",C38+F38)</f>
        <v/>
      </c>
      <c r="H38">
        <f>IF($A38="","",SUMIFS(Contributions!E:E,Contributions!C:C,$B38,Contributions!F:F,"Reinvest",Contributions!G:G,$A38))</f>
        <v/>
      </c>
      <c r="I38">
        <f>IF($A38="","",G38-H38)</f>
        <v/>
      </c>
    </row>
    <row r="39">
      <c r="C39">
        <f>IF($A39="","",SUMIFS(Contributions!E:E,Contributions!B:B,$A39,Contributions!C:C,$B39))</f>
        <v/>
      </c>
      <c r="D39">
        <f>IF($A39="","",SUMIFS(Contributions!E:E,Contributions!B:B,$A39))</f>
        <v/>
      </c>
      <c r="E39">
        <f>IF($A39="","",XLOOKUP($A39,Returns!A:A,Returns!E:E))</f>
        <v/>
      </c>
      <c r="F39">
        <f>IF(OR($A39="",D39=0),"",C39/D39*E39)</f>
        <v/>
      </c>
      <c r="G39">
        <f>IF($A39="","",C39+F39)</f>
        <v/>
      </c>
      <c r="H39">
        <f>IF($A39="","",SUMIFS(Contributions!E:E,Contributions!C:C,$B39,Contributions!F:F,"Reinvest",Contributions!G:G,$A39))</f>
        <v/>
      </c>
      <c r="I39">
        <f>IF($A39="","",G39-H39)</f>
        <v/>
      </c>
    </row>
    <row r="40">
      <c r="C40">
        <f>IF($A40="","",SUMIFS(Contributions!E:E,Contributions!B:B,$A40,Contributions!C:C,$B40))</f>
        <v/>
      </c>
      <c r="D40">
        <f>IF($A40="","",SUMIFS(Contributions!E:E,Contributions!B:B,$A40))</f>
        <v/>
      </c>
      <c r="E40">
        <f>IF($A40="","",XLOOKUP($A40,Returns!A:A,Returns!E:E))</f>
        <v/>
      </c>
      <c r="F40">
        <f>IF(OR($A40="",D40=0),"",C40/D40*E40)</f>
        <v/>
      </c>
      <c r="G40">
        <f>IF($A40="","",C40+F40)</f>
        <v/>
      </c>
      <c r="H40">
        <f>IF($A40="","",SUMIFS(Contributions!E:E,Contributions!C:C,$B40,Contributions!F:F,"Reinvest",Contributions!G:G,$A40))</f>
        <v/>
      </c>
      <c r="I40">
        <f>IF($A40="","",G40-H40)</f>
        <v/>
      </c>
    </row>
    <row r="41">
      <c r="C41">
        <f>IF($A41="","",SUMIFS(Contributions!E:E,Contributions!B:B,$A41,Contributions!C:C,$B41))</f>
        <v/>
      </c>
      <c r="D41">
        <f>IF($A41="","",SUMIFS(Contributions!E:E,Contributions!B:B,$A41))</f>
        <v/>
      </c>
      <c r="E41">
        <f>IF($A41="","",XLOOKUP($A41,Returns!A:A,Returns!E:E))</f>
        <v/>
      </c>
      <c r="F41">
        <f>IF(OR($A41="",D41=0),"",C41/D41*E41)</f>
        <v/>
      </c>
      <c r="G41">
        <f>IF($A41="","",C41+F41)</f>
        <v/>
      </c>
      <c r="H41">
        <f>IF($A41="","",SUMIFS(Contributions!E:E,Contributions!C:C,$B41,Contributions!F:F,"Reinvest",Contributions!G:G,$A41))</f>
        <v/>
      </c>
      <c r="I41">
        <f>IF($A41="","",G41-H41)</f>
        <v/>
      </c>
    </row>
    <row r="42">
      <c r="C42">
        <f>IF($A42="","",SUMIFS(Contributions!E:E,Contributions!B:B,$A42,Contributions!C:C,$B42))</f>
        <v/>
      </c>
      <c r="D42">
        <f>IF($A42="","",SUMIFS(Contributions!E:E,Contributions!B:B,$A42))</f>
        <v/>
      </c>
      <c r="E42">
        <f>IF($A42="","",XLOOKUP($A42,Returns!A:A,Returns!E:E))</f>
        <v/>
      </c>
      <c r="F42">
        <f>IF(OR($A42="",D42=0),"",C42/D42*E42)</f>
        <v/>
      </c>
      <c r="G42">
        <f>IF($A42="","",C42+F42)</f>
        <v/>
      </c>
      <c r="H42">
        <f>IF($A42="","",SUMIFS(Contributions!E:E,Contributions!C:C,$B42,Contributions!F:F,"Reinvest",Contributions!G:G,$A42))</f>
        <v/>
      </c>
      <c r="I42">
        <f>IF($A42="","",G42-H42)</f>
        <v/>
      </c>
    </row>
    <row r="43">
      <c r="C43">
        <f>IF($A43="","",SUMIFS(Contributions!E:E,Contributions!B:B,$A43,Contributions!C:C,$B43))</f>
        <v/>
      </c>
      <c r="D43">
        <f>IF($A43="","",SUMIFS(Contributions!E:E,Contributions!B:B,$A43))</f>
        <v/>
      </c>
      <c r="E43">
        <f>IF($A43="","",XLOOKUP($A43,Returns!A:A,Returns!E:E))</f>
        <v/>
      </c>
      <c r="F43">
        <f>IF(OR($A43="",D43=0),"",C43/D43*E43)</f>
        <v/>
      </c>
      <c r="G43">
        <f>IF($A43="","",C43+F43)</f>
        <v/>
      </c>
      <c r="H43">
        <f>IF($A43="","",SUMIFS(Contributions!E:E,Contributions!C:C,$B43,Contributions!F:F,"Reinvest",Contributions!G:G,$A43))</f>
        <v/>
      </c>
      <c r="I43">
        <f>IF($A43="","",G43-H43)</f>
        <v/>
      </c>
    </row>
    <row r="44">
      <c r="C44">
        <f>IF($A44="","",SUMIFS(Contributions!E:E,Contributions!B:B,$A44,Contributions!C:C,$B44))</f>
        <v/>
      </c>
      <c r="D44">
        <f>IF($A44="","",SUMIFS(Contributions!E:E,Contributions!B:B,$A44))</f>
        <v/>
      </c>
      <c r="E44">
        <f>IF($A44="","",XLOOKUP($A44,Returns!A:A,Returns!E:E))</f>
        <v/>
      </c>
      <c r="F44">
        <f>IF(OR($A44="",D44=0),"",C44/D44*E44)</f>
        <v/>
      </c>
      <c r="G44">
        <f>IF($A44="","",C44+F44)</f>
        <v/>
      </c>
      <c r="H44">
        <f>IF($A44="","",SUMIFS(Contributions!E:E,Contributions!C:C,$B44,Contributions!F:F,"Reinvest",Contributions!G:G,$A44))</f>
        <v/>
      </c>
      <c r="I44">
        <f>IF($A44="","",G44-H44)</f>
        <v/>
      </c>
    </row>
    <row r="45">
      <c r="C45">
        <f>IF($A45="","",SUMIFS(Contributions!E:E,Contributions!B:B,$A45,Contributions!C:C,$B45))</f>
        <v/>
      </c>
      <c r="D45">
        <f>IF($A45="","",SUMIFS(Contributions!E:E,Contributions!B:B,$A45))</f>
        <v/>
      </c>
      <c r="E45">
        <f>IF($A45="","",XLOOKUP($A45,Returns!A:A,Returns!E:E))</f>
        <v/>
      </c>
      <c r="F45">
        <f>IF(OR($A45="",D45=0),"",C45/D45*E45)</f>
        <v/>
      </c>
      <c r="G45">
        <f>IF($A45="","",C45+F45)</f>
        <v/>
      </c>
      <c r="H45">
        <f>IF($A45="","",SUMIFS(Contributions!E:E,Contributions!C:C,$B45,Contributions!F:F,"Reinvest",Contributions!G:G,$A45))</f>
        <v/>
      </c>
      <c r="I45">
        <f>IF($A45="","",G45-H45)</f>
        <v/>
      </c>
    </row>
    <row r="46">
      <c r="C46">
        <f>IF($A46="","",SUMIFS(Contributions!E:E,Contributions!B:B,$A46,Contributions!C:C,$B46))</f>
        <v/>
      </c>
      <c r="D46">
        <f>IF($A46="","",SUMIFS(Contributions!E:E,Contributions!B:B,$A46))</f>
        <v/>
      </c>
      <c r="E46">
        <f>IF($A46="","",XLOOKUP($A46,Returns!A:A,Returns!E:E))</f>
        <v/>
      </c>
      <c r="F46">
        <f>IF(OR($A46="",D46=0),"",C46/D46*E46)</f>
        <v/>
      </c>
      <c r="G46">
        <f>IF($A46="","",C46+F46)</f>
        <v/>
      </c>
      <c r="H46">
        <f>IF($A46="","",SUMIFS(Contributions!E:E,Contributions!C:C,$B46,Contributions!F:F,"Reinvest",Contributions!G:G,$A46))</f>
        <v/>
      </c>
      <c r="I46">
        <f>IF($A46="","",G46-H46)</f>
        <v/>
      </c>
    </row>
    <row r="47">
      <c r="C47">
        <f>IF($A47="","",SUMIFS(Contributions!E:E,Contributions!B:B,$A47,Contributions!C:C,$B47))</f>
        <v/>
      </c>
      <c r="D47">
        <f>IF($A47="","",SUMIFS(Contributions!E:E,Contributions!B:B,$A47))</f>
        <v/>
      </c>
      <c r="E47">
        <f>IF($A47="","",XLOOKUP($A47,Returns!A:A,Returns!E:E))</f>
        <v/>
      </c>
      <c r="F47">
        <f>IF(OR($A47="",D47=0),"",C47/D47*E47)</f>
        <v/>
      </c>
      <c r="G47">
        <f>IF($A47="","",C47+F47)</f>
        <v/>
      </c>
      <c r="H47">
        <f>IF($A47="","",SUMIFS(Contributions!E:E,Contributions!C:C,$B47,Contributions!F:F,"Reinvest",Contributions!G:G,$A47))</f>
        <v/>
      </c>
      <c r="I47">
        <f>IF($A47="","",G47-H47)</f>
        <v/>
      </c>
    </row>
    <row r="48">
      <c r="C48">
        <f>IF($A48="","",SUMIFS(Contributions!E:E,Contributions!B:B,$A48,Contributions!C:C,$B48))</f>
        <v/>
      </c>
      <c r="D48">
        <f>IF($A48="","",SUMIFS(Contributions!E:E,Contributions!B:B,$A48))</f>
        <v/>
      </c>
      <c r="E48">
        <f>IF($A48="","",XLOOKUP($A48,Returns!A:A,Returns!E:E))</f>
        <v/>
      </c>
      <c r="F48">
        <f>IF(OR($A48="",D48=0),"",C48/D48*E48)</f>
        <v/>
      </c>
      <c r="G48">
        <f>IF($A48="","",C48+F48)</f>
        <v/>
      </c>
      <c r="H48">
        <f>IF($A48="","",SUMIFS(Contributions!E:E,Contributions!C:C,$B48,Contributions!F:F,"Reinvest",Contributions!G:G,$A48))</f>
        <v/>
      </c>
      <c r="I48">
        <f>IF($A48="","",G48-H48)</f>
        <v/>
      </c>
    </row>
    <row r="49">
      <c r="C49">
        <f>IF($A49="","",SUMIFS(Contributions!E:E,Contributions!B:B,$A49,Contributions!C:C,$B49))</f>
        <v/>
      </c>
      <c r="D49">
        <f>IF($A49="","",SUMIFS(Contributions!E:E,Contributions!B:B,$A49))</f>
        <v/>
      </c>
      <c r="E49">
        <f>IF($A49="","",XLOOKUP($A49,Returns!A:A,Returns!E:E))</f>
        <v/>
      </c>
      <c r="F49">
        <f>IF(OR($A49="",D49=0),"",C49/D49*E49)</f>
        <v/>
      </c>
      <c r="G49">
        <f>IF($A49="","",C49+F49)</f>
        <v/>
      </c>
      <c r="H49">
        <f>IF($A49="","",SUMIFS(Contributions!E:E,Contributions!C:C,$B49,Contributions!F:F,"Reinvest",Contributions!G:G,$A49))</f>
        <v/>
      </c>
      <c r="I49">
        <f>IF($A49="","",G49-H49)</f>
        <v/>
      </c>
    </row>
    <row r="50">
      <c r="C50">
        <f>IF($A50="","",SUMIFS(Contributions!E:E,Contributions!B:B,$A50,Contributions!C:C,$B50))</f>
        <v/>
      </c>
      <c r="D50">
        <f>IF($A50="","",SUMIFS(Contributions!E:E,Contributions!B:B,$A50))</f>
        <v/>
      </c>
      <c r="E50">
        <f>IF($A50="","",XLOOKUP($A50,Returns!A:A,Returns!E:E))</f>
        <v/>
      </c>
      <c r="F50">
        <f>IF(OR($A50="",D50=0),"",C50/D50*E50)</f>
        <v/>
      </c>
      <c r="G50">
        <f>IF($A50="","",C50+F50)</f>
        <v/>
      </c>
      <c r="H50">
        <f>IF($A50="","",SUMIFS(Contributions!E:E,Contributions!C:C,$B50,Contributions!F:F,"Reinvest",Contributions!G:G,$A50))</f>
        <v/>
      </c>
      <c r="I50">
        <f>IF($A50="","",G50-H50)</f>
        <v/>
      </c>
    </row>
    <row r="51">
      <c r="C51">
        <f>IF($A51="","",SUMIFS(Contributions!E:E,Contributions!B:B,$A51,Contributions!C:C,$B51))</f>
        <v/>
      </c>
      <c r="D51">
        <f>IF($A51="","",SUMIFS(Contributions!E:E,Contributions!B:B,$A51))</f>
        <v/>
      </c>
      <c r="E51">
        <f>IF($A51="","",XLOOKUP($A51,Returns!A:A,Returns!E:E))</f>
        <v/>
      </c>
      <c r="F51">
        <f>IF(OR($A51="",D51=0),"",C51/D51*E51)</f>
        <v/>
      </c>
      <c r="G51">
        <f>IF($A51="","",C51+F51)</f>
        <v/>
      </c>
      <c r="H51">
        <f>IF($A51="","",SUMIFS(Contributions!E:E,Contributions!C:C,$B51,Contributions!F:F,"Reinvest",Contributions!G:G,$A51))</f>
        <v/>
      </c>
      <c r="I51">
        <f>IF($A51="","",G51-H51)</f>
        <v/>
      </c>
    </row>
    <row r="52">
      <c r="C52">
        <f>IF($A52="","",SUMIFS(Contributions!E:E,Contributions!B:B,$A52,Contributions!C:C,$B52))</f>
        <v/>
      </c>
      <c r="D52">
        <f>IF($A52="","",SUMIFS(Contributions!E:E,Contributions!B:B,$A52))</f>
        <v/>
      </c>
      <c r="E52">
        <f>IF($A52="","",XLOOKUP($A52,Returns!A:A,Returns!E:E))</f>
        <v/>
      </c>
      <c r="F52">
        <f>IF(OR($A52="",D52=0),"",C52/D52*E52)</f>
        <v/>
      </c>
      <c r="G52">
        <f>IF($A52="","",C52+F52)</f>
        <v/>
      </c>
      <c r="H52">
        <f>IF($A52="","",SUMIFS(Contributions!E:E,Contributions!C:C,$B52,Contributions!F:F,"Reinvest",Contributions!G:G,$A52))</f>
        <v/>
      </c>
      <c r="I52">
        <f>IF($A52="","",G52-H52)</f>
        <v/>
      </c>
    </row>
    <row r="53">
      <c r="C53">
        <f>IF($A53="","",SUMIFS(Contributions!E:E,Contributions!B:B,$A53,Contributions!C:C,$B53))</f>
        <v/>
      </c>
      <c r="D53">
        <f>IF($A53="","",SUMIFS(Contributions!E:E,Contributions!B:B,$A53))</f>
        <v/>
      </c>
      <c r="E53">
        <f>IF($A53="","",XLOOKUP($A53,Returns!A:A,Returns!E:E))</f>
        <v/>
      </c>
      <c r="F53">
        <f>IF(OR($A53="",D53=0),"",C53/D53*E53)</f>
        <v/>
      </c>
      <c r="G53">
        <f>IF($A53="","",C53+F53)</f>
        <v/>
      </c>
      <c r="H53">
        <f>IF($A53="","",SUMIFS(Contributions!E:E,Contributions!C:C,$B53,Contributions!F:F,"Reinvest",Contributions!G:G,$A53))</f>
        <v/>
      </c>
      <c r="I53">
        <f>IF($A53="","",G53-H53)</f>
        <v/>
      </c>
    </row>
    <row r="54">
      <c r="C54">
        <f>IF($A54="","",SUMIFS(Contributions!E:E,Contributions!B:B,$A54,Contributions!C:C,$B54))</f>
        <v/>
      </c>
      <c r="D54">
        <f>IF($A54="","",SUMIFS(Contributions!E:E,Contributions!B:B,$A54))</f>
        <v/>
      </c>
      <c r="E54">
        <f>IF($A54="","",XLOOKUP($A54,Returns!A:A,Returns!E:E))</f>
        <v/>
      </c>
      <c r="F54">
        <f>IF(OR($A54="",D54=0),"",C54/D54*E54)</f>
        <v/>
      </c>
      <c r="G54">
        <f>IF($A54="","",C54+F54)</f>
        <v/>
      </c>
      <c r="H54">
        <f>IF($A54="","",SUMIFS(Contributions!E:E,Contributions!C:C,$B54,Contributions!F:F,"Reinvest",Contributions!G:G,$A54))</f>
        <v/>
      </c>
      <c r="I54">
        <f>IF($A54="","",G54-H54)</f>
        <v/>
      </c>
    </row>
    <row r="55">
      <c r="C55">
        <f>IF($A55="","",SUMIFS(Contributions!E:E,Contributions!B:B,$A55,Contributions!C:C,$B55))</f>
        <v/>
      </c>
      <c r="D55">
        <f>IF($A55="","",SUMIFS(Contributions!E:E,Contributions!B:B,$A55))</f>
        <v/>
      </c>
      <c r="E55">
        <f>IF($A55="","",XLOOKUP($A55,Returns!A:A,Returns!E:E))</f>
        <v/>
      </c>
      <c r="F55">
        <f>IF(OR($A55="",D55=0),"",C55/D55*E55)</f>
        <v/>
      </c>
      <c r="G55">
        <f>IF($A55="","",C55+F55)</f>
        <v/>
      </c>
      <c r="H55">
        <f>IF($A55="","",SUMIFS(Contributions!E:E,Contributions!C:C,$B55,Contributions!F:F,"Reinvest",Contributions!G:G,$A55))</f>
        <v/>
      </c>
      <c r="I55">
        <f>IF($A55="","",G55-H55)</f>
        <v/>
      </c>
    </row>
    <row r="56">
      <c r="C56">
        <f>IF($A56="","",SUMIFS(Contributions!E:E,Contributions!B:B,$A56,Contributions!C:C,$B56))</f>
        <v/>
      </c>
      <c r="D56">
        <f>IF($A56="","",SUMIFS(Contributions!E:E,Contributions!B:B,$A56))</f>
        <v/>
      </c>
      <c r="E56">
        <f>IF($A56="","",XLOOKUP($A56,Returns!A:A,Returns!E:E))</f>
        <v/>
      </c>
      <c r="F56">
        <f>IF(OR($A56="",D56=0),"",C56/D56*E56)</f>
        <v/>
      </c>
      <c r="G56">
        <f>IF($A56="","",C56+F56)</f>
        <v/>
      </c>
      <c r="H56">
        <f>IF($A56="","",SUMIFS(Contributions!E:E,Contributions!C:C,$B56,Contributions!F:F,"Reinvest",Contributions!G:G,$A56))</f>
        <v/>
      </c>
      <c r="I56">
        <f>IF($A56="","",G56-H56)</f>
        <v/>
      </c>
    </row>
    <row r="57">
      <c r="C57">
        <f>IF($A57="","",SUMIFS(Contributions!E:E,Contributions!B:B,$A57,Contributions!C:C,$B57))</f>
        <v/>
      </c>
      <c r="D57">
        <f>IF($A57="","",SUMIFS(Contributions!E:E,Contributions!B:B,$A57))</f>
        <v/>
      </c>
      <c r="E57">
        <f>IF($A57="","",XLOOKUP($A57,Returns!A:A,Returns!E:E))</f>
        <v/>
      </c>
      <c r="F57">
        <f>IF(OR($A57="",D57=0),"",C57/D57*E57)</f>
        <v/>
      </c>
      <c r="G57">
        <f>IF($A57="","",C57+F57)</f>
        <v/>
      </c>
      <c r="H57">
        <f>IF($A57="","",SUMIFS(Contributions!E:E,Contributions!C:C,$B57,Contributions!F:F,"Reinvest",Contributions!G:G,$A57))</f>
        <v/>
      </c>
      <c r="I57">
        <f>IF($A57="","",G57-H57)</f>
        <v/>
      </c>
    </row>
    <row r="58">
      <c r="C58">
        <f>IF($A58="","",SUMIFS(Contributions!E:E,Contributions!B:B,$A58,Contributions!C:C,$B58))</f>
        <v/>
      </c>
      <c r="D58">
        <f>IF($A58="","",SUMIFS(Contributions!E:E,Contributions!B:B,$A58))</f>
        <v/>
      </c>
      <c r="E58">
        <f>IF($A58="","",XLOOKUP($A58,Returns!A:A,Returns!E:E))</f>
        <v/>
      </c>
      <c r="F58">
        <f>IF(OR($A58="",D58=0),"",C58/D58*E58)</f>
        <v/>
      </c>
      <c r="G58">
        <f>IF($A58="","",C58+F58)</f>
        <v/>
      </c>
      <c r="H58">
        <f>IF($A58="","",SUMIFS(Contributions!E:E,Contributions!C:C,$B58,Contributions!F:F,"Reinvest",Contributions!G:G,$A58))</f>
        <v/>
      </c>
      <c r="I58">
        <f>IF($A58="","",G58-H58)</f>
        <v/>
      </c>
    </row>
    <row r="59">
      <c r="C59">
        <f>IF($A59="","",SUMIFS(Contributions!E:E,Contributions!B:B,$A59,Contributions!C:C,$B59))</f>
        <v/>
      </c>
      <c r="D59">
        <f>IF($A59="","",SUMIFS(Contributions!E:E,Contributions!B:B,$A59))</f>
        <v/>
      </c>
      <c r="E59">
        <f>IF($A59="","",XLOOKUP($A59,Returns!A:A,Returns!E:E))</f>
        <v/>
      </c>
      <c r="F59">
        <f>IF(OR($A59="",D59=0),"",C59/D59*E59)</f>
        <v/>
      </c>
      <c r="G59">
        <f>IF($A59="","",C59+F59)</f>
        <v/>
      </c>
      <c r="H59">
        <f>IF($A59="","",SUMIFS(Contributions!E:E,Contributions!C:C,$B59,Contributions!F:F,"Reinvest",Contributions!G:G,$A59))</f>
        <v/>
      </c>
      <c r="I59">
        <f>IF($A59="","",G59-H59)</f>
        <v/>
      </c>
    </row>
    <row r="60">
      <c r="C60">
        <f>IF($A60="","",SUMIFS(Contributions!E:E,Contributions!B:B,$A60,Contributions!C:C,$B60))</f>
        <v/>
      </c>
      <c r="D60">
        <f>IF($A60="","",SUMIFS(Contributions!E:E,Contributions!B:B,$A60))</f>
        <v/>
      </c>
      <c r="E60">
        <f>IF($A60="","",XLOOKUP($A60,Returns!A:A,Returns!E:E))</f>
        <v/>
      </c>
      <c r="F60">
        <f>IF(OR($A60="",D60=0),"",C60/D60*E60)</f>
        <v/>
      </c>
      <c r="G60">
        <f>IF($A60="","",C60+F60)</f>
        <v/>
      </c>
      <c r="H60">
        <f>IF($A60="","",SUMIFS(Contributions!E:E,Contributions!C:C,$B60,Contributions!F:F,"Reinvest",Contributions!G:G,$A60))</f>
        <v/>
      </c>
      <c r="I60">
        <f>IF($A60="","",G60-H60)</f>
        <v/>
      </c>
    </row>
    <row r="61">
      <c r="C61">
        <f>IF($A61="","",SUMIFS(Contributions!E:E,Contributions!B:B,$A61,Contributions!C:C,$B61))</f>
        <v/>
      </c>
      <c r="D61">
        <f>IF($A61="","",SUMIFS(Contributions!E:E,Contributions!B:B,$A61))</f>
        <v/>
      </c>
      <c r="E61">
        <f>IF($A61="","",XLOOKUP($A61,Returns!A:A,Returns!E:E))</f>
        <v/>
      </c>
      <c r="F61">
        <f>IF(OR($A61="",D61=0),"",C61/D61*E61)</f>
        <v/>
      </c>
      <c r="G61">
        <f>IF($A61="","",C61+F61)</f>
        <v/>
      </c>
      <c r="H61">
        <f>IF($A61="","",SUMIFS(Contributions!E:E,Contributions!C:C,$B61,Contributions!F:F,"Reinvest",Contributions!G:G,$A61))</f>
        <v/>
      </c>
      <c r="I61">
        <f>IF($A61="","",G61-H61)</f>
        <v/>
      </c>
    </row>
    <row r="62">
      <c r="C62">
        <f>IF($A62="","",SUMIFS(Contributions!E:E,Contributions!B:B,$A62,Contributions!C:C,$B62))</f>
        <v/>
      </c>
      <c r="D62">
        <f>IF($A62="","",SUMIFS(Contributions!E:E,Contributions!B:B,$A62))</f>
        <v/>
      </c>
      <c r="E62">
        <f>IF($A62="","",XLOOKUP($A62,Returns!A:A,Returns!E:E))</f>
        <v/>
      </c>
      <c r="F62">
        <f>IF(OR($A62="",D62=0),"",C62/D62*E62)</f>
        <v/>
      </c>
      <c r="G62">
        <f>IF($A62="","",C62+F62)</f>
        <v/>
      </c>
      <c r="H62">
        <f>IF($A62="","",SUMIFS(Contributions!E:E,Contributions!C:C,$B62,Contributions!F:F,"Reinvest",Contributions!G:G,$A62))</f>
        <v/>
      </c>
      <c r="I62">
        <f>IF($A62="","",G62-H62)</f>
        <v/>
      </c>
    </row>
    <row r="63">
      <c r="C63">
        <f>IF($A63="","",SUMIFS(Contributions!E:E,Contributions!B:B,$A63,Contributions!C:C,$B63))</f>
        <v/>
      </c>
      <c r="D63">
        <f>IF($A63="","",SUMIFS(Contributions!E:E,Contributions!B:B,$A63))</f>
        <v/>
      </c>
      <c r="E63">
        <f>IF($A63="","",XLOOKUP($A63,Returns!A:A,Returns!E:E))</f>
        <v/>
      </c>
      <c r="F63">
        <f>IF(OR($A63="",D63=0),"",C63/D63*E63)</f>
        <v/>
      </c>
      <c r="G63">
        <f>IF($A63="","",C63+F63)</f>
        <v/>
      </c>
      <c r="H63">
        <f>IF($A63="","",SUMIFS(Contributions!E:E,Contributions!C:C,$B63,Contributions!F:F,"Reinvest",Contributions!G:G,$A63))</f>
        <v/>
      </c>
      <c r="I63">
        <f>IF($A63="","",G63-H63)</f>
        <v/>
      </c>
    </row>
    <row r="64">
      <c r="C64">
        <f>IF($A64="","",SUMIFS(Contributions!E:E,Contributions!B:B,$A64,Contributions!C:C,$B64))</f>
        <v/>
      </c>
      <c r="D64">
        <f>IF($A64="","",SUMIFS(Contributions!E:E,Contributions!B:B,$A64))</f>
        <v/>
      </c>
      <c r="E64">
        <f>IF($A64="","",XLOOKUP($A64,Returns!A:A,Returns!E:E))</f>
        <v/>
      </c>
      <c r="F64">
        <f>IF(OR($A64="",D64=0),"",C64/D64*E64)</f>
        <v/>
      </c>
      <c r="G64">
        <f>IF($A64="","",C64+F64)</f>
        <v/>
      </c>
      <c r="H64">
        <f>IF($A64="","",SUMIFS(Contributions!E:E,Contributions!C:C,$B64,Contributions!F:F,"Reinvest",Contributions!G:G,$A64))</f>
        <v/>
      </c>
      <c r="I64">
        <f>IF($A64="","",G64-H64)</f>
        <v/>
      </c>
    </row>
    <row r="65">
      <c r="C65">
        <f>IF($A65="","",SUMIFS(Contributions!E:E,Contributions!B:B,$A65,Contributions!C:C,$B65))</f>
        <v/>
      </c>
      <c r="D65">
        <f>IF($A65="","",SUMIFS(Contributions!E:E,Contributions!B:B,$A65))</f>
        <v/>
      </c>
      <c r="E65">
        <f>IF($A65="","",XLOOKUP($A65,Returns!A:A,Returns!E:E))</f>
        <v/>
      </c>
      <c r="F65">
        <f>IF(OR($A65="",D65=0),"",C65/D65*E65)</f>
        <v/>
      </c>
      <c r="G65">
        <f>IF($A65="","",C65+F65)</f>
        <v/>
      </c>
      <c r="H65">
        <f>IF($A65="","",SUMIFS(Contributions!E:E,Contributions!C:C,$B65,Contributions!F:F,"Reinvest",Contributions!G:G,$A65))</f>
        <v/>
      </c>
      <c r="I65">
        <f>IF($A65="","",G65-H65)</f>
        <v/>
      </c>
    </row>
    <row r="66">
      <c r="C66">
        <f>IF($A66="","",SUMIFS(Contributions!E:E,Contributions!B:B,$A66,Contributions!C:C,$B66))</f>
        <v/>
      </c>
      <c r="D66">
        <f>IF($A66="","",SUMIFS(Contributions!E:E,Contributions!B:B,$A66))</f>
        <v/>
      </c>
      <c r="E66">
        <f>IF($A66="","",XLOOKUP($A66,Returns!A:A,Returns!E:E))</f>
        <v/>
      </c>
      <c r="F66">
        <f>IF(OR($A66="",D66=0),"",C66/D66*E66)</f>
        <v/>
      </c>
      <c r="G66">
        <f>IF($A66="","",C66+F66)</f>
        <v/>
      </c>
      <c r="H66">
        <f>IF($A66="","",SUMIFS(Contributions!E:E,Contributions!C:C,$B66,Contributions!F:F,"Reinvest",Contributions!G:G,$A66))</f>
        <v/>
      </c>
      <c r="I66">
        <f>IF($A66="","",G66-H66)</f>
        <v/>
      </c>
    </row>
    <row r="67">
      <c r="C67">
        <f>IF($A67="","",SUMIFS(Contributions!E:E,Contributions!B:B,$A67,Contributions!C:C,$B67))</f>
        <v/>
      </c>
      <c r="D67">
        <f>IF($A67="","",SUMIFS(Contributions!E:E,Contributions!B:B,$A67))</f>
        <v/>
      </c>
      <c r="E67">
        <f>IF($A67="","",XLOOKUP($A67,Returns!A:A,Returns!E:E))</f>
        <v/>
      </c>
      <c r="F67">
        <f>IF(OR($A67="",D67=0),"",C67/D67*E67)</f>
        <v/>
      </c>
      <c r="G67">
        <f>IF($A67="","",C67+F67)</f>
        <v/>
      </c>
      <c r="H67">
        <f>IF($A67="","",SUMIFS(Contributions!E:E,Contributions!C:C,$B67,Contributions!F:F,"Reinvest",Contributions!G:G,$A67))</f>
        <v/>
      </c>
      <c r="I67">
        <f>IF($A67="","",G67-H67)</f>
        <v/>
      </c>
    </row>
    <row r="68">
      <c r="C68">
        <f>IF($A68="","",SUMIFS(Contributions!E:E,Contributions!B:B,$A68,Contributions!C:C,$B68))</f>
        <v/>
      </c>
      <c r="D68">
        <f>IF($A68="","",SUMIFS(Contributions!E:E,Contributions!B:B,$A68))</f>
        <v/>
      </c>
      <c r="E68">
        <f>IF($A68="","",XLOOKUP($A68,Returns!A:A,Returns!E:E))</f>
        <v/>
      </c>
      <c r="F68">
        <f>IF(OR($A68="",D68=0),"",C68/D68*E68)</f>
        <v/>
      </c>
      <c r="G68">
        <f>IF($A68="","",C68+F68)</f>
        <v/>
      </c>
      <c r="H68">
        <f>IF($A68="","",SUMIFS(Contributions!E:E,Contributions!C:C,$B68,Contributions!F:F,"Reinvest",Contributions!G:G,$A68))</f>
        <v/>
      </c>
      <c r="I68">
        <f>IF($A68="","",G68-H68)</f>
        <v/>
      </c>
    </row>
    <row r="69">
      <c r="C69">
        <f>IF($A69="","",SUMIFS(Contributions!E:E,Contributions!B:B,$A69,Contributions!C:C,$B69))</f>
        <v/>
      </c>
      <c r="D69">
        <f>IF($A69="","",SUMIFS(Contributions!E:E,Contributions!B:B,$A69))</f>
        <v/>
      </c>
      <c r="E69">
        <f>IF($A69="","",XLOOKUP($A69,Returns!A:A,Returns!E:E))</f>
        <v/>
      </c>
      <c r="F69">
        <f>IF(OR($A69="",D69=0),"",C69/D69*E69)</f>
        <v/>
      </c>
      <c r="G69">
        <f>IF($A69="","",C69+F69)</f>
        <v/>
      </c>
      <c r="H69">
        <f>IF($A69="","",SUMIFS(Contributions!E:E,Contributions!C:C,$B69,Contributions!F:F,"Reinvest",Contributions!G:G,$A69))</f>
        <v/>
      </c>
      <c r="I69">
        <f>IF($A69="","",G69-H69)</f>
        <v/>
      </c>
    </row>
    <row r="70">
      <c r="C70">
        <f>IF($A70="","",SUMIFS(Contributions!E:E,Contributions!B:B,$A70,Contributions!C:C,$B70))</f>
        <v/>
      </c>
      <c r="D70">
        <f>IF($A70="","",SUMIFS(Contributions!E:E,Contributions!B:B,$A70))</f>
        <v/>
      </c>
      <c r="E70">
        <f>IF($A70="","",XLOOKUP($A70,Returns!A:A,Returns!E:E))</f>
        <v/>
      </c>
      <c r="F70">
        <f>IF(OR($A70="",D70=0),"",C70/D70*E70)</f>
        <v/>
      </c>
      <c r="G70">
        <f>IF($A70="","",C70+F70)</f>
        <v/>
      </c>
      <c r="H70">
        <f>IF($A70="","",SUMIFS(Contributions!E:E,Contributions!C:C,$B70,Contributions!F:F,"Reinvest",Contributions!G:G,$A70))</f>
        <v/>
      </c>
      <c r="I70">
        <f>IF($A70="","",G70-H70)</f>
        <v/>
      </c>
    </row>
    <row r="71">
      <c r="C71">
        <f>IF($A71="","",SUMIFS(Contributions!E:E,Contributions!B:B,$A71,Contributions!C:C,$B71))</f>
        <v/>
      </c>
      <c r="D71">
        <f>IF($A71="","",SUMIFS(Contributions!E:E,Contributions!B:B,$A71))</f>
        <v/>
      </c>
      <c r="E71">
        <f>IF($A71="","",XLOOKUP($A71,Returns!A:A,Returns!E:E))</f>
        <v/>
      </c>
      <c r="F71">
        <f>IF(OR($A71="",D71=0),"",C71/D71*E71)</f>
        <v/>
      </c>
      <c r="G71">
        <f>IF($A71="","",C71+F71)</f>
        <v/>
      </c>
      <c r="H71">
        <f>IF($A71="","",SUMIFS(Contributions!E:E,Contributions!C:C,$B71,Contributions!F:F,"Reinvest",Contributions!G:G,$A71))</f>
        <v/>
      </c>
      <c r="I71">
        <f>IF($A71="","",G71-H71)</f>
        <v/>
      </c>
    </row>
    <row r="72">
      <c r="C72">
        <f>IF($A72="","",SUMIFS(Contributions!E:E,Contributions!B:B,$A72,Contributions!C:C,$B72))</f>
        <v/>
      </c>
      <c r="D72">
        <f>IF($A72="","",SUMIFS(Contributions!E:E,Contributions!B:B,$A72))</f>
        <v/>
      </c>
      <c r="E72">
        <f>IF($A72="","",XLOOKUP($A72,Returns!A:A,Returns!E:E))</f>
        <v/>
      </c>
      <c r="F72">
        <f>IF(OR($A72="",D72=0),"",C72/D72*E72)</f>
        <v/>
      </c>
      <c r="G72">
        <f>IF($A72="","",C72+F72)</f>
        <v/>
      </c>
      <c r="H72">
        <f>IF($A72="","",SUMIFS(Contributions!E:E,Contributions!C:C,$B72,Contributions!F:F,"Reinvest",Contributions!G:G,$A72))</f>
        <v/>
      </c>
      <c r="I72">
        <f>IF($A72="","",G72-H72)</f>
        <v/>
      </c>
    </row>
    <row r="73">
      <c r="C73">
        <f>IF($A73="","",SUMIFS(Contributions!E:E,Contributions!B:B,$A73,Contributions!C:C,$B73))</f>
        <v/>
      </c>
      <c r="D73">
        <f>IF($A73="","",SUMIFS(Contributions!E:E,Contributions!B:B,$A73))</f>
        <v/>
      </c>
      <c r="E73">
        <f>IF($A73="","",XLOOKUP($A73,Returns!A:A,Returns!E:E))</f>
        <v/>
      </c>
      <c r="F73">
        <f>IF(OR($A73="",D73=0),"",C73/D73*E73)</f>
        <v/>
      </c>
      <c r="G73">
        <f>IF($A73="","",C73+F73)</f>
        <v/>
      </c>
      <c r="H73">
        <f>IF($A73="","",SUMIFS(Contributions!E:E,Contributions!C:C,$B73,Contributions!F:F,"Reinvest",Contributions!G:G,$A73))</f>
        <v/>
      </c>
      <c r="I73">
        <f>IF($A73="","",G73-H73)</f>
        <v/>
      </c>
    </row>
    <row r="74">
      <c r="C74">
        <f>IF($A74="","",SUMIFS(Contributions!E:E,Contributions!B:B,$A74,Contributions!C:C,$B74))</f>
        <v/>
      </c>
      <c r="D74">
        <f>IF($A74="","",SUMIFS(Contributions!E:E,Contributions!B:B,$A74))</f>
        <v/>
      </c>
      <c r="E74">
        <f>IF($A74="","",XLOOKUP($A74,Returns!A:A,Returns!E:E))</f>
        <v/>
      </c>
      <c r="F74">
        <f>IF(OR($A74="",D74=0),"",C74/D74*E74)</f>
        <v/>
      </c>
      <c r="G74">
        <f>IF($A74="","",C74+F74)</f>
        <v/>
      </c>
      <c r="H74">
        <f>IF($A74="","",SUMIFS(Contributions!E:E,Contributions!C:C,$B74,Contributions!F:F,"Reinvest",Contributions!G:G,$A74))</f>
        <v/>
      </c>
      <c r="I74">
        <f>IF($A74="","",G74-H74)</f>
        <v/>
      </c>
    </row>
    <row r="75">
      <c r="C75">
        <f>IF($A75="","",SUMIFS(Contributions!E:E,Contributions!B:B,$A75,Contributions!C:C,$B75))</f>
        <v/>
      </c>
      <c r="D75">
        <f>IF($A75="","",SUMIFS(Contributions!E:E,Contributions!B:B,$A75))</f>
        <v/>
      </c>
      <c r="E75">
        <f>IF($A75="","",XLOOKUP($A75,Returns!A:A,Returns!E:E))</f>
        <v/>
      </c>
      <c r="F75">
        <f>IF(OR($A75="",D75=0),"",C75/D75*E75)</f>
        <v/>
      </c>
      <c r="G75">
        <f>IF($A75="","",C75+F75)</f>
        <v/>
      </c>
      <c r="H75">
        <f>IF($A75="","",SUMIFS(Contributions!E:E,Contributions!C:C,$B75,Contributions!F:F,"Reinvest",Contributions!G:G,$A75))</f>
        <v/>
      </c>
      <c r="I75">
        <f>IF($A75="","",G75-H75)</f>
        <v/>
      </c>
    </row>
    <row r="76">
      <c r="C76">
        <f>IF($A76="","",SUMIFS(Contributions!E:E,Contributions!B:B,$A76,Contributions!C:C,$B76))</f>
        <v/>
      </c>
      <c r="D76">
        <f>IF($A76="","",SUMIFS(Contributions!E:E,Contributions!B:B,$A76))</f>
        <v/>
      </c>
      <c r="E76">
        <f>IF($A76="","",XLOOKUP($A76,Returns!A:A,Returns!E:E))</f>
        <v/>
      </c>
      <c r="F76">
        <f>IF(OR($A76="",D76=0),"",C76/D76*E76)</f>
        <v/>
      </c>
      <c r="G76">
        <f>IF($A76="","",C76+F76)</f>
        <v/>
      </c>
      <c r="H76">
        <f>IF($A76="","",SUMIFS(Contributions!E:E,Contributions!C:C,$B76,Contributions!F:F,"Reinvest",Contributions!G:G,$A76))</f>
        <v/>
      </c>
      <c r="I76">
        <f>IF($A76="","",G76-H76)</f>
        <v/>
      </c>
    </row>
    <row r="77">
      <c r="C77">
        <f>IF($A77="","",SUMIFS(Contributions!E:E,Contributions!B:B,$A77,Contributions!C:C,$B77))</f>
        <v/>
      </c>
      <c r="D77">
        <f>IF($A77="","",SUMIFS(Contributions!E:E,Contributions!B:B,$A77))</f>
        <v/>
      </c>
      <c r="E77">
        <f>IF($A77="","",XLOOKUP($A77,Returns!A:A,Returns!E:E))</f>
        <v/>
      </c>
      <c r="F77">
        <f>IF(OR($A77="",D77=0),"",C77/D77*E77)</f>
        <v/>
      </c>
      <c r="G77">
        <f>IF($A77="","",C77+F77)</f>
        <v/>
      </c>
      <c r="H77">
        <f>IF($A77="","",SUMIFS(Contributions!E:E,Contributions!C:C,$B77,Contributions!F:F,"Reinvest",Contributions!G:G,$A77))</f>
        <v/>
      </c>
      <c r="I77">
        <f>IF($A77="","",G77-H77)</f>
        <v/>
      </c>
    </row>
    <row r="78">
      <c r="C78">
        <f>IF($A78="","",SUMIFS(Contributions!E:E,Contributions!B:B,$A78,Contributions!C:C,$B78))</f>
        <v/>
      </c>
      <c r="D78">
        <f>IF($A78="","",SUMIFS(Contributions!E:E,Contributions!B:B,$A78))</f>
        <v/>
      </c>
      <c r="E78">
        <f>IF($A78="","",XLOOKUP($A78,Returns!A:A,Returns!E:E))</f>
        <v/>
      </c>
      <c r="F78">
        <f>IF(OR($A78="",D78=0),"",C78/D78*E78)</f>
        <v/>
      </c>
      <c r="G78">
        <f>IF($A78="","",C78+F78)</f>
        <v/>
      </c>
      <c r="H78">
        <f>IF($A78="","",SUMIFS(Contributions!E:E,Contributions!C:C,$B78,Contributions!F:F,"Reinvest",Contributions!G:G,$A78))</f>
        <v/>
      </c>
      <c r="I78">
        <f>IF($A78="","",G78-H78)</f>
        <v/>
      </c>
    </row>
    <row r="79">
      <c r="C79">
        <f>IF($A79="","",SUMIFS(Contributions!E:E,Contributions!B:B,$A79,Contributions!C:C,$B79))</f>
        <v/>
      </c>
      <c r="D79">
        <f>IF($A79="","",SUMIFS(Contributions!E:E,Contributions!B:B,$A79))</f>
        <v/>
      </c>
      <c r="E79">
        <f>IF($A79="","",XLOOKUP($A79,Returns!A:A,Returns!E:E))</f>
        <v/>
      </c>
      <c r="F79">
        <f>IF(OR($A79="",D79=0),"",C79/D79*E79)</f>
        <v/>
      </c>
      <c r="G79">
        <f>IF($A79="","",C79+F79)</f>
        <v/>
      </c>
      <c r="H79">
        <f>IF($A79="","",SUMIFS(Contributions!E:E,Contributions!C:C,$B79,Contributions!F:F,"Reinvest",Contributions!G:G,$A79))</f>
        <v/>
      </c>
      <c r="I79">
        <f>IF($A79="","",G79-H79)</f>
        <v/>
      </c>
    </row>
    <row r="80">
      <c r="C80">
        <f>IF($A80="","",SUMIFS(Contributions!E:E,Contributions!B:B,$A80,Contributions!C:C,$B80))</f>
        <v/>
      </c>
      <c r="D80">
        <f>IF($A80="","",SUMIFS(Contributions!E:E,Contributions!B:B,$A80))</f>
        <v/>
      </c>
      <c r="E80">
        <f>IF($A80="","",XLOOKUP($A80,Returns!A:A,Returns!E:E))</f>
        <v/>
      </c>
      <c r="F80">
        <f>IF(OR($A80="",D80=0),"",C80/D80*E80)</f>
        <v/>
      </c>
      <c r="G80">
        <f>IF($A80="","",C80+F80)</f>
        <v/>
      </c>
      <c r="H80">
        <f>IF($A80="","",SUMIFS(Contributions!E:E,Contributions!C:C,$B80,Contributions!F:F,"Reinvest",Contributions!G:G,$A80))</f>
        <v/>
      </c>
      <c r="I80">
        <f>IF($A80="","",G80-H80)</f>
        <v/>
      </c>
    </row>
    <row r="81">
      <c r="C81">
        <f>IF($A81="","",SUMIFS(Contributions!E:E,Contributions!B:B,$A81,Contributions!C:C,$B81))</f>
        <v/>
      </c>
      <c r="D81">
        <f>IF($A81="","",SUMIFS(Contributions!E:E,Contributions!B:B,$A81))</f>
        <v/>
      </c>
      <c r="E81">
        <f>IF($A81="","",XLOOKUP($A81,Returns!A:A,Returns!E:E))</f>
        <v/>
      </c>
      <c r="F81">
        <f>IF(OR($A81="",D81=0),"",C81/D81*E81)</f>
        <v/>
      </c>
      <c r="G81">
        <f>IF($A81="","",C81+F81)</f>
        <v/>
      </c>
      <c r="H81">
        <f>IF($A81="","",SUMIFS(Contributions!E:E,Contributions!C:C,$B81,Contributions!F:F,"Reinvest",Contributions!G:G,$A81))</f>
        <v/>
      </c>
      <c r="I81">
        <f>IF($A81="","",G81-H81)</f>
        <v/>
      </c>
    </row>
    <row r="82">
      <c r="C82">
        <f>IF($A82="","",SUMIFS(Contributions!E:E,Contributions!B:B,$A82,Contributions!C:C,$B82))</f>
        <v/>
      </c>
      <c r="D82">
        <f>IF($A82="","",SUMIFS(Contributions!E:E,Contributions!B:B,$A82))</f>
        <v/>
      </c>
      <c r="E82">
        <f>IF($A82="","",XLOOKUP($A82,Returns!A:A,Returns!E:E))</f>
        <v/>
      </c>
      <c r="F82">
        <f>IF(OR($A82="",D82=0),"",C82/D82*E82)</f>
        <v/>
      </c>
      <c r="G82">
        <f>IF($A82="","",C82+F82)</f>
        <v/>
      </c>
      <c r="H82">
        <f>IF($A82="","",SUMIFS(Contributions!E:E,Contributions!C:C,$B82,Contributions!F:F,"Reinvest",Contributions!G:G,$A82))</f>
        <v/>
      </c>
      <c r="I82">
        <f>IF($A82="","",G82-H82)</f>
        <v/>
      </c>
    </row>
    <row r="83">
      <c r="C83">
        <f>IF($A83="","",SUMIFS(Contributions!E:E,Contributions!B:B,$A83,Contributions!C:C,$B83))</f>
        <v/>
      </c>
      <c r="D83">
        <f>IF($A83="","",SUMIFS(Contributions!E:E,Contributions!B:B,$A83))</f>
        <v/>
      </c>
      <c r="E83">
        <f>IF($A83="","",XLOOKUP($A83,Returns!A:A,Returns!E:E))</f>
        <v/>
      </c>
      <c r="F83">
        <f>IF(OR($A83="",D83=0),"",C83/D83*E83)</f>
        <v/>
      </c>
      <c r="G83">
        <f>IF($A83="","",C83+F83)</f>
        <v/>
      </c>
      <c r="H83">
        <f>IF($A83="","",SUMIFS(Contributions!E:E,Contributions!C:C,$B83,Contributions!F:F,"Reinvest",Contributions!G:G,$A83))</f>
        <v/>
      </c>
      <c r="I83">
        <f>IF($A83="","",G83-H83)</f>
        <v/>
      </c>
    </row>
    <row r="84">
      <c r="C84">
        <f>IF($A84="","",SUMIFS(Contributions!E:E,Contributions!B:B,$A84,Contributions!C:C,$B84))</f>
        <v/>
      </c>
      <c r="D84">
        <f>IF($A84="","",SUMIFS(Contributions!E:E,Contributions!B:B,$A84))</f>
        <v/>
      </c>
      <c r="E84">
        <f>IF($A84="","",XLOOKUP($A84,Returns!A:A,Returns!E:E))</f>
        <v/>
      </c>
      <c r="F84">
        <f>IF(OR($A84="",D84=0),"",C84/D84*E84)</f>
        <v/>
      </c>
      <c r="G84">
        <f>IF($A84="","",C84+F84)</f>
        <v/>
      </c>
      <c r="H84">
        <f>IF($A84="","",SUMIFS(Contributions!E:E,Contributions!C:C,$B84,Contributions!F:F,"Reinvest",Contributions!G:G,$A84))</f>
        <v/>
      </c>
      <c r="I84">
        <f>IF($A84="","",G84-H84)</f>
        <v/>
      </c>
    </row>
    <row r="85">
      <c r="C85">
        <f>IF($A85="","",SUMIFS(Contributions!E:E,Contributions!B:B,$A85,Contributions!C:C,$B85))</f>
        <v/>
      </c>
      <c r="D85">
        <f>IF($A85="","",SUMIFS(Contributions!E:E,Contributions!B:B,$A85))</f>
        <v/>
      </c>
      <c r="E85">
        <f>IF($A85="","",XLOOKUP($A85,Returns!A:A,Returns!E:E))</f>
        <v/>
      </c>
      <c r="F85">
        <f>IF(OR($A85="",D85=0),"",C85/D85*E85)</f>
        <v/>
      </c>
      <c r="G85">
        <f>IF($A85="","",C85+F85)</f>
        <v/>
      </c>
      <c r="H85">
        <f>IF($A85="","",SUMIFS(Contributions!E:E,Contributions!C:C,$B85,Contributions!F:F,"Reinvest",Contributions!G:G,$A85))</f>
        <v/>
      </c>
      <c r="I85">
        <f>IF($A85="","",G85-H85)</f>
        <v/>
      </c>
    </row>
    <row r="86">
      <c r="C86">
        <f>IF($A86="","",SUMIFS(Contributions!E:E,Contributions!B:B,$A86,Contributions!C:C,$B86))</f>
        <v/>
      </c>
      <c r="D86">
        <f>IF($A86="","",SUMIFS(Contributions!E:E,Contributions!B:B,$A86))</f>
        <v/>
      </c>
      <c r="E86">
        <f>IF($A86="","",XLOOKUP($A86,Returns!A:A,Returns!E:E))</f>
        <v/>
      </c>
      <c r="F86">
        <f>IF(OR($A86="",D86=0),"",C86/D86*E86)</f>
        <v/>
      </c>
      <c r="G86">
        <f>IF($A86="","",C86+F86)</f>
        <v/>
      </c>
      <c r="H86">
        <f>IF($A86="","",SUMIFS(Contributions!E:E,Contributions!C:C,$B86,Contributions!F:F,"Reinvest",Contributions!G:G,$A86))</f>
        <v/>
      </c>
      <c r="I86">
        <f>IF($A86="","",G86-H86)</f>
        <v/>
      </c>
    </row>
    <row r="87">
      <c r="C87">
        <f>IF($A87="","",SUMIFS(Contributions!E:E,Contributions!B:B,$A87,Contributions!C:C,$B87))</f>
        <v/>
      </c>
      <c r="D87">
        <f>IF($A87="","",SUMIFS(Contributions!E:E,Contributions!B:B,$A87))</f>
        <v/>
      </c>
      <c r="E87">
        <f>IF($A87="","",XLOOKUP($A87,Returns!A:A,Returns!E:E))</f>
        <v/>
      </c>
      <c r="F87">
        <f>IF(OR($A87="",D87=0),"",C87/D87*E87)</f>
        <v/>
      </c>
      <c r="G87">
        <f>IF($A87="","",C87+F87)</f>
        <v/>
      </c>
      <c r="H87">
        <f>IF($A87="","",SUMIFS(Contributions!E:E,Contributions!C:C,$B87,Contributions!F:F,"Reinvest",Contributions!G:G,$A87))</f>
        <v/>
      </c>
      <c r="I87">
        <f>IF($A87="","",G87-H87)</f>
        <v/>
      </c>
    </row>
    <row r="88">
      <c r="C88">
        <f>IF($A88="","",SUMIFS(Contributions!E:E,Contributions!B:B,$A88,Contributions!C:C,$B88))</f>
        <v/>
      </c>
      <c r="D88">
        <f>IF($A88="","",SUMIFS(Contributions!E:E,Contributions!B:B,$A88))</f>
        <v/>
      </c>
      <c r="E88">
        <f>IF($A88="","",XLOOKUP($A88,Returns!A:A,Returns!E:E))</f>
        <v/>
      </c>
      <c r="F88">
        <f>IF(OR($A88="",D88=0),"",C88/D88*E88)</f>
        <v/>
      </c>
      <c r="G88">
        <f>IF($A88="","",C88+F88)</f>
        <v/>
      </c>
      <c r="H88">
        <f>IF($A88="","",SUMIFS(Contributions!E:E,Contributions!C:C,$B88,Contributions!F:F,"Reinvest",Contributions!G:G,$A88))</f>
        <v/>
      </c>
      <c r="I88">
        <f>IF($A88="","",G88-H88)</f>
        <v/>
      </c>
    </row>
    <row r="89">
      <c r="C89">
        <f>IF($A89="","",SUMIFS(Contributions!E:E,Contributions!B:B,$A89,Contributions!C:C,$B89))</f>
        <v/>
      </c>
      <c r="D89">
        <f>IF($A89="","",SUMIFS(Contributions!E:E,Contributions!B:B,$A89))</f>
        <v/>
      </c>
      <c r="E89">
        <f>IF($A89="","",XLOOKUP($A89,Returns!A:A,Returns!E:E))</f>
        <v/>
      </c>
      <c r="F89">
        <f>IF(OR($A89="",D89=0),"",C89/D89*E89)</f>
        <v/>
      </c>
      <c r="G89">
        <f>IF($A89="","",C89+F89)</f>
        <v/>
      </c>
      <c r="H89">
        <f>IF($A89="","",SUMIFS(Contributions!E:E,Contributions!C:C,$B89,Contributions!F:F,"Reinvest",Contributions!G:G,$A89))</f>
        <v/>
      </c>
      <c r="I89">
        <f>IF($A89="","",G89-H89)</f>
        <v/>
      </c>
    </row>
    <row r="90">
      <c r="C90">
        <f>IF($A90="","",SUMIFS(Contributions!E:E,Contributions!B:B,$A90,Contributions!C:C,$B90))</f>
        <v/>
      </c>
      <c r="D90">
        <f>IF($A90="","",SUMIFS(Contributions!E:E,Contributions!B:B,$A90))</f>
        <v/>
      </c>
      <c r="E90">
        <f>IF($A90="","",XLOOKUP($A90,Returns!A:A,Returns!E:E))</f>
        <v/>
      </c>
      <c r="F90">
        <f>IF(OR($A90="",D90=0),"",C90/D90*E90)</f>
        <v/>
      </c>
      <c r="G90">
        <f>IF($A90="","",C90+F90)</f>
        <v/>
      </c>
      <c r="H90">
        <f>IF($A90="","",SUMIFS(Contributions!E:E,Contributions!C:C,$B90,Contributions!F:F,"Reinvest",Contributions!G:G,$A90))</f>
        <v/>
      </c>
      <c r="I90">
        <f>IF($A90="","",G90-H90)</f>
        <v/>
      </c>
    </row>
    <row r="91">
      <c r="C91">
        <f>IF($A91="","",SUMIFS(Contributions!E:E,Contributions!B:B,$A91,Contributions!C:C,$B91))</f>
        <v/>
      </c>
      <c r="D91">
        <f>IF($A91="","",SUMIFS(Contributions!E:E,Contributions!B:B,$A91))</f>
        <v/>
      </c>
      <c r="E91">
        <f>IF($A91="","",XLOOKUP($A91,Returns!A:A,Returns!E:E))</f>
        <v/>
      </c>
      <c r="F91">
        <f>IF(OR($A91="",D91=0),"",C91/D91*E91)</f>
        <v/>
      </c>
      <c r="G91">
        <f>IF($A91="","",C91+F91)</f>
        <v/>
      </c>
      <c r="H91">
        <f>IF($A91="","",SUMIFS(Contributions!E:E,Contributions!C:C,$B91,Contributions!F:F,"Reinvest",Contributions!G:G,$A91))</f>
        <v/>
      </c>
      <c r="I91">
        <f>IF($A91="","",G91-H91)</f>
        <v/>
      </c>
    </row>
    <row r="92">
      <c r="C92">
        <f>IF($A92="","",SUMIFS(Contributions!E:E,Contributions!B:B,$A92,Contributions!C:C,$B92))</f>
        <v/>
      </c>
      <c r="D92">
        <f>IF($A92="","",SUMIFS(Contributions!E:E,Contributions!B:B,$A92))</f>
        <v/>
      </c>
      <c r="E92">
        <f>IF($A92="","",XLOOKUP($A92,Returns!A:A,Returns!E:E))</f>
        <v/>
      </c>
      <c r="F92">
        <f>IF(OR($A92="",D92=0),"",C92/D92*E92)</f>
        <v/>
      </c>
      <c r="G92">
        <f>IF($A92="","",C92+F92)</f>
        <v/>
      </c>
      <c r="H92">
        <f>IF($A92="","",SUMIFS(Contributions!E:E,Contributions!C:C,$B92,Contributions!F:F,"Reinvest",Contributions!G:G,$A92))</f>
        <v/>
      </c>
      <c r="I92">
        <f>IF($A92="","",G92-H92)</f>
        <v/>
      </c>
    </row>
    <row r="93">
      <c r="C93">
        <f>IF($A93="","",SUMIFS(Contributions!E:E,Contributions!B:B,$A93,Contributions!C:C,$B93))</f>
        <v/>
      </c>
      <c r="D93">
        <f>IF($A93="","",SUMIFS(Contributions!E:E,Contributions!B:B,$A93))</f>
        <v/>
      </c>
      <c r="E93">
        <f>IF($A93="","",XLOOKUP($A93,Returns!A:A,Returns!E:E))</f>
        <v/>
      </c>
      <c r="F93">
        <f>IF(OR($A93="",D93=0),"",C93/D93*E93)</f>
        <v/>
      </c>
      <c r="G93">
        <f>IF($A93="","",C93+F93)</f>
        <v/>
      </c>
      <c r="H93">
        <f>IF($A93="","",SUMIFS(Contributions!E:E,Contributions!C:C,$B93,Contributions!F:F,"Reinvest",Contributions!G:G,$A93))</f>
        <v/>
      </c>
      <c r="I93">
        <f>IF($A93="","",G93-H93)</f>
        <v/>
      </c>
    </row>
    <row r="94">
      <c r="C94">
        <f>IF($A94="","",SUMIFS(Contributions!E:E,Contributions!B:B,$A94,Contributions!C:C,$B94))</f>
        <v/>
      </c>
      <c r="D94">
        <f>IF($A94="","",SUMIFS(Contributions!E:E,Contributions!B:B,$A94))</f>
        <v/>
      </c>
      <c r="E94">
        <f>IF($A94="","",XLOOKUP($A94,Returns!A:A,Returns!E:E))</f>
        <v/>
      </c>
      <c r="F94">
        <f>IF(OR($A94="",D94=0),"",C94/D94*E94)</f>
        <v/>
      </c>
      <c r="G94">
        <f>IF($A94="","",C94+F94)</f>
        <v/>
      </c>
      <c r="H94">
        <f>IF($A94="","",SUMIFS(Contributions!E:E,Contributions!C:C,$B94,Contributions!F:F,"Reinvest",Contributions!G:G,$A94))</f>
        <v/>
      </c>
      <c r="I94">
        <f>IF($A94="","",G94-H94)</f>
        <v/>
      </c>
    </row>
    <row r="95">
      <c r="C95">
        <f>IF($A95="","",SUMIFS(Contributions!E:E,Contributions!B:B,$A95,Contributions!C:C,$B95))</f>
        <v/>
      </c>
      <c r="D95">
        <f>IF($A95="","",SUMIFS(Contributions!E:E,Contributions!B:B,$A95))</f>
        <v/>
      </c>
      <c r="E95">
        <f>IF($A95="","",XLOOKUP($A95,Returns!A:A,Returns!E:E))</f>
        <v/>
      </c>
      <c r="F95">
        <f>IF(OR($A95="",D95=0),"",C95/D95*E95)</f>
        <v/>
      </c>
      <c r="G95">
        <f>IF($A95="","",C95+F95)</f>
        <v/>
      </c>
      <c r="H95">
        <f>IF($A95="","",SUMIFS(Contributions!E:E,Contributions!C:C,$B95,Contributions!F:F,"Reinvest",Contributions!G:G,$A95))</f>
        <v/>
      </c>
      <c r="I95">
        <f>IF($A95="","",G95-H95)</f>
        <v/>
      </c>
    </row>
    <row r="96">
      <c r="C96">
        <f>IF($A96="","",SUMIFS(Contributions!E:E,Contributions!B:B,$A96,Contributions!C:C,$B96))</f>
        <v/>
      </c>
      <c r="D96">
        <f>IF($A96="","",SUMIFS(Contributions!E:E,Contributions!B:B,$A96))</f>
        <v/>
      </c>
      <c r="E96">
        <f>IF($A96="","",XLOOKUP($A96,Returns!A:A,Returns!E:E))</f>
        <v/>
      </c>
      <c r="F96">
        <f>IF(OR($A96="",D96=0),"",C96/D96*E96)</f>
        <v/>
      </c>
      <c r="G96">
        <f>IF($A96="","",C96+F96)</f>
        <v/>
      </c>
      <c r="H96">
        <f>IF($A96="","",SUMIFS(Contributions!E:E,Contributions!C:C,$B96,Contributions!F:F,"Reinvest",Contributions!G:G,$A96))</f>
        <v/>
      </c>
      <c r="I96">
        <f>IF($A96="","",G96-H96)</f>
        <v/>
      </c>
    </row>
    <row r="97">
      <c r="C97">
        <f>IF($A97="","",SUMIFS(Contributions!E:E,Contributions!B:B,$A97,Contributions!C:C,$B97))</f>
        <v/>
      </c>
      <c r="D97">
        <f>IF($A97="","",SUMIFS(Contributions!E:E,Contributions!B:B,$A97))</f>
        <v/>
      </c>
      <c r="E97">
        <f>IF($A97="","",XLOOKUP($A97,Returns!A:A,Returns!E:E))</f>
        <v/>
      </c>
      <c r="F97">
        <f>IF(OR($A97="",D97=0),"",C97/D97*E97)</f>
        <v/>
      </c>
      <c r="G97">
        <f>IF($A97="","",C97+F97)</f>
        <v/>
      </c>
      <c r="H97">
        <f>IF($A97="","",SUMIFS(Contributions!E:E,Contributions!C:C,$B97,Contributions!F:F,"Reinvest",Contributions!G:G,$A97))</f>
        <v/>
      </c>
      <c r="I97">
        <f>IF($A97="","",G97-H97)</f>
        <v/>
      </c>
    </row>
    <row r="98">
      <c r="C98">
        <f>IF($A98="","",SUMIFS(Contributions!E:E,Contributions!B:B,$A98,Contributions!C:C,$B98))</f>
        <v/>
      </c>
      <c r="D98">
        <f>IF($A98="","",SUMIFS(Contributions!E:E,Contributions!B:B,$A98))</f>
        <v/>
      </c>
      <c r="E98">
        <f>IF($A98="","",XLOOKUP($A98,Returns!A:A,Returns!E:E))</f>
        <v/>
      </c>
      <c r="F98">
        <f>IF(OR($A98="",D98=0),"",C98/D98*E98)</f>
        <v/>
      </c>
      <c r="G98">
        <f>IF($A98="","",C98+F98)</f>
        <v/>
      </c>
      <c r="H98">
        <f>IF($A98="","",SUMIFS(Contributions!E:E,Contributions!C:C,$B98,Contributions!F:F,"Reinvest",Contributions!G:G,$A98))</f>
        <v/>
      </c>
      <c r="I98">
        <f>IF($A98="","",G98-H98)</f>
        <v/>
      </c>
    </row>
    <row r="99">
      <c r="C99">
        <f>IF($A99="","",SUMIFS(Contributions!E:E,Contributions!B:B,$A99,Contributions!C:C,$B99))</f>
        <v/>
      </c>
      <c r="D99">
        <f>IF($A99="","",SUMIFS(Contributions!E:E,Contributions!B:B,$A99))</f>
        <v/>
      </c>
      <c r="E99">
        <f>IF($A99="","",XLOOKUP($A99,Returns!A:A,Returns!E:E))</f>
        <v/>
      </c>
      <c r="F99">
        <f>IF(OR($A99="",D99=0),"",C99/D99*E99)</f>
        <v/>
      </c>
      <c r="G99">
        <f>IF($A99="","",C99+F99)</f>
        <v/>
      </c>
      <c r="H99">
        <f>IF($A99="","",SUMIFS(Contributions!E:E,Contributions!C:C,$B99,Contributions!F:F,"Reinvest",Contributions!G:G,$A99))</f>
        <v/>
      </c>
      <c r="I99">
        <f>IF($A99="","",G99-H99)</f>
        <v/>
      </c>
    </row>
    <row r="100">
      <c r="C100">
        <f>IF($A100="","",SUMIFS(Contributions!E:E,Contributions!B:B,$A100,Contributions!C:C,$B100))</f>
        <v/>
      </c>
      <c r="D100">
        <f>IF($A100="","",SUMIFS(Contributions!E:E,Contributions!B:B,$A100))</f>
        <v/>
      </c>
      <c r="E100">
        <f>IF($A100="","",XLOOKUP($A100,Returns!A:A,Returns!E:E))</f>
        <v/>
      </c>
      <c r="F100">
        <f>IF(OR($A100="",D100=0),"",C100/D100*E100)</f>
        <v/>
      </c>
      <c r="G100">
        <f>IF($A100="","",C100+F100)</f>
        <v/>
      </c>
      <c r="H100">
        <f>IF($A100="","",SUMIFS(Contributions!E:E,Contributions!C:C,$B100,Contributions!F:F,"Reinvest",Contributions!G:G,$A100))</f>
        <v/>
      </c>
      <c r="I100">
        <f>IF($A100="","",G100-H100)</f>
        <v/>
      </c>
    </row>
    <row r="101">
      <c r="C101">
        <f>IF($A101="","",SUMIFS(Contributions!E:E,Contributions!B:B,$A101,Contributions!C:C,$B101))</f>
        <v/>
      </c>
      <c r="D101">
        <f>IF($A101="","",SUMIFS(Contributions!E:E,Contributions!B:B,$A101))</f>
        <v/>
      </c>
      <c r="E101">
        <f>IF($A101="","",XLOOKUP($A101,Returns!A:A,Returns!E:E))</f>
        <v/>
      </c>
      <c r="F101">
        <f>IF(OR($A101="",D101=0),"",C101/D101*E101)</f>
        <v/>
      </c>
      <c r="G101">
        <f>IF($A101="","",C101+F101)</f>
        <v/>
      </c>
      <c r="H101">
        <f>IF($A101="","",SUMIFS(Contributions!E:E,Contributions!C:C,$B101,Contributions!F:F,"Reinvest",Contributions!G:G,$A101))</f>
        <v/>
      </c>
      <c r="I101">
        <f>IF($A101="","",G101-H101)</f>
        <v/>
      </c>
    </row>
    <row r="102">
      <c r="C102">
        <f>IF($A102="","",SUMIFS(Contributions!E:E,Contributions!B:B,$A102,Contributions!C:C,$B102))</f>
        <v/>
      </c>
      <c r="D102">
        <f>IF($A102="","",SUMIFS(Contributions!E:E,Contributions!B:B,$A102))</f>
        <v/>
      </c>
      <c r="E102">
        <f>IF($A102="","",XLOOKUP($A102,Returns!A:A,Returns!E:E))</f>
        <v/>
      </c>
      <c r="F102">
        <f>IF(OR($A102="",D102=0),"",C102/D102*E102)</f>
        <v/>
      </c>
      <c r="G102">
        <f>IF($A102="","",C102+F102)</f>
        <v/>
      </c>
      <c r="H102">
        <f>IF($A102="","",SUMIFS(Contributions!E:E,Contributions!C:C,$B102,Contributions!F:F,"Reinvest",Contributions!G:G,$A102))</f>
        <v/>
      </c>
      <c r="I102">
        <f>IF($A102="","",G102-H102)</f>
        <v/>
      </c>
    </row>
    <row r="103">
      <c r="C103">
        <f>IF($A103="","",SUMIFS(Contributions!E:E,Contributions!B:B,$A103,Contributions!C:C,$B103))</f>
        <v/>
      </c>
      <c r="D103">
        <f>IF($A103="","",SUMIFS(Contributions!E:E,Contributions!B:B,$A103))</f>
        <v/>
      </c>
      <c r="E103">
        <f>IF($A103="","",XLOOKUP($A103,Returns!A:A,Returns!E:E))</f>
        <v/>
      </c>
      <c r="F103">
        <f>IF(OR($A103="",D103=0),"",C103/D103*E103)</f>
        <v/>
      </c>
      <c r="G103">
        <f>IF($A103="","",C103+F103)</f>
        <v/>
      </c>
      <c r="H103">
        <f>IF($A103="","",SUMIFS(Contributions!E:E,Contributions!C:C,$B103,Contributions!F:F,"Reinvest",Contributions!G:G,$A103))</f>
        <v/>
      </c>
      <c r="I103">
        <f>IF($A103="","",G103-H103)</f>
        <v/>
      </c>
    </row>
    <row r="104">
      <c r="C104">
        <f>IF($A104="","",SUMIFS(Contributions!E:E,Contributions!B:B,$A104,Contributions!C:C,$B104))</f>
        <v/>
      </c>
      <c r="D104">
        <f>IF($A104="","",SUMIFS(Contributions!E:E,Contributions!B:B,$A104))</f>
        <v/>
      </c>
      <c r="E104">
        <f>IF($A104="","",XLOOKUP($A104,Returns!A:A,Returns!E:E))</f>
        <v/>
      </c>
      <c r="F104">
        <f>IF(OR($A104="",D104=0),"",C104/D104*E104)</f>
        <v/>
      </c>
      <c r="G104">
        <f>IF($A104="","",C104+F104)</f>
        <v/>
      </c>
      <c r="H104">
        <f>IF($A104="","",SUMIFS(Contributions!E:E,Contributions!C:C,$B104,Contributions!F:F,"Reinvest",Contributions!G:G,$A104))</f>
        <v/>
      </c>
      <c r="I104">
        <f>IF($A104="","",G104-H104)</f>
        <v/>
      </c>
    </row>
    <row r="105">
      <c r="C105">
        <f>IF($A105="","",SUMIFS(Contributions!E:E,Contributions!B:B,$A105,Contributions!C:C,$B105))</f>
        <v/>
      </c>
      <c r="D105">
        <f>IF($A105="","",SUMIFS(Contributions!E:E,Contributions!B:B,$A105))</f>
        <v/>
      </c>
      <c r="E105">
        <f>IF($A105="","",XLOOKUP($A105,Returns!A:A,Returns!E:E))</f>
        <v/>
      </c>
      <c r="F105">
        <f>IF(OR($A105="",D105=0),"",C105/D105*E105)</f>
        <v/>
      </c>
      <c r="G105">
        <f>IF($A105="","",C105+F105)</f>
        <v/>
      </c>
      <c r="H105">
        <f>IF($A105="","",SUMIFS(Contributions!E:E,Contributions!C:C,$B105,Contributions!F:F,"Reinvest",Contributions!G:G,$A105))</f>
        <v/>
      </c>
      <c r="I105">
        <f>IF($A105="","",G105-H105)</f>
        <v/>
      </c>
    </row>
    <row r="106">
      <c r="C106">
        <f>IF($A106="","",SUMIFS(Contributions!E:E,Contributions!B:B,$A106,Contributions!C:C,$B106))</f>
        <v/>
      </c>
      <c r="D106">
        <f>IF($A106="","",SUMIFS(Contributions!E:E,Contributions!B:B,$A106))</f>
        <v/>
      </c>
      <c r="E106">
        <f>IF($A106="","",XLOOKUP($A106,Returns!A:A,Returns!E:E))</f>
        <v/>
      </c>
      <c r="F106">
        <f>IF(OR($A106="",D106=0),"",C106/D106*E106)</f>
        <v/>
      </c>
      <c r="G106">
        <f>IF($A106="","",C106+F106)</f>
        <v/>
      </c>
      <c r="H106">
        <f>IF($A106="","",SUMIFS(Contributions!E:E,Contributions!C:C,$B106,Contributions!F:F,"Reinvest",Contributions!G:G,$A106))</f>
        <v/>
      </c>
      <c r="I106">
        <f>IF($A106="","",G106-H106)</f>
        <v/>
      </c>
    </row>
    <row r="107">
      <c r="C107">
        <f>IF($A107="","",SUMIFS(Contributions!E:E,Contributions!B:B,$A107,Contributions!C:C,$B107))</f>
        <v/>
      </c>
      <c r="D107">
        <f>IF($A107="","",SUMIFS(Contributions!E:E,Contributions!B:B,$A107))</f>
        <v/>
      </c>
      <c r="E107">
        <f>IF($A107="","",XLOOKUP($A107,Returns!A:A,Returns!E:E))</f>
        <v/>
      </c>
      <c r="F107">
        <f>IF(OR($A107="",D107=0),"",C107/D107*E107)</f>
        <v/>
      </c>
      <c r="G107">
        <f>IF($A107="","",C107+F107)</f>
        <v/>
      </c>
      <c r="H107">
        <f>IF($A107="","",SUMIFS(Contributions!E:E,Contributions!C:C,$B107,Contributions!F:F,"Reinvest",Contributions!G:G,$A107))</f>
        <v/>
      </c>
      <c r="I107">
        <f>IF($A107="","",G107-H107)</f>
        <v/>
      </c>
    </row>
    <row r="108">
      <c r="C108">
        <f>IF($A108="","",SUMIFS(Contributions!E:E,Contributions!B:B,$A108,Contributions!C:C,$B108))</f>
        <v/>
      </c>
      <c r="D108">
        <f>IF($A108="","",SUMIFS(Contributions!E:E,Contributions!B:B,$A108))</f>
        <v/>
      </c>
      <c r="E108">
        <f>IF($A108="","",XLOOKUP($A108,Returns!A:A,Returns!E:E))</f>
        <v/>
      </c>
      <c r="F108">
        <f>IF(OR($A108="",D108=0),"",C108/D108*E108)</f>
        <v/>
      </c>
      <c r="G108">
        <f>IF($A108="","",C108+F108)</f>
        <v/>
      </c>
      <c r="H108">
        <f>IF($A108="","",SUMIFS(Contributions!E:E,Contributions!C:C,$B108,Contributions!F:F,"Reinvest",Contributions!G:G,$A108))</f>
        <v/>
      </c>
      <c r="I108">
        <f>IF($A108="","",G108-H108)</f>
        <v/>
      </c>
    </row>
    <row r="109">
      <c r="C109">
        <f>IF($A109="","",SUMIFS(Contributions!E:E,Contributions!B:B,$A109,Contributions!C:C,$B109))</f>
        <v/>
      </c>
      <c r="D109">
        <f>IF($A109="","",SUMIFS(Contributions!E:E,Contributions!B:B,$A109))</f>
        <v/>
      </c>
      <c r="E109">
        <f>IF($A109="","",XLOOKUP($A109,Returns!A:A,Returns!E:E))</f>
        <v/>
      </c>
      <c r="F109">
        <f>IF(OR($A109="",D109=0),"",C109/D109*E109)</f>
        <v/>
      </c>
      <c r="G109">
        <f>IF($A109="","",C109+F109)</f>
        <v/>
      </c>
      <c r="H109">
        <f>IF($A109="","",SUMIFS(Contributions!E:E,Contributions!C:C,$B109,Contributions!F:F,"Reinvest",Contributions!G:G,$A109))</f>
        <v/>
      </c>
      <c r="I109">
        <f>IF($A109="","",G109-H109)</f>
        <v/>
      </c>
    </row>
    <row r="110">
      <c r="C110">
        <f>IF($A110="","",SUMIFS(Contributions!E:E,Contributions!B:B,$A110,Contributions!C:C,$B110))</f>
        <v/>
      </c>
      <c r="D110">
        <f>IF($A110="","",SUMIFS(Contributions!E:E,Contributions!B:B,$A110))</f>
        <v/>
      </c>
      <c r="E110">
        <f>IF($A110="","",XLOOKUP($A110,Returns!A:A,Returns!E:E))</f>
        <v/>
      </c>
      <c r="F110">
        <f>IF(OR($A110="",D110=0),"",C110/D110*E110)</f>
        <v/>
      </c>
      <c r="G110">
        <f>IF($A110="","",C110+F110)</f>
        <v/>
      </c>
      <c r="H110">
        <f>IF($A110="","",SUMIFS(Contributions!E:E,Contributions!C:C,$B110,Contributions!F:F,"Reinvest",Contributions!G:G,$A110))</f>
        <v/>
      </c>
      <c r="I110">
        <f>IF($A110="","",G110-H110)</f>
        <v/>
      </c>
    </row>
    <row r="111">
      <c r="C111">
        <f>IF($A111="","",SUMIFS(Contributions!E:E,Contributions!B:B,$A111,Contributions!C:C,$B111))</f>
        <v/>
      </c>
      <c r="D111">
        <f>IF($A111="","",SUMIFS(Contributions!E:E,Contributions!B:B,$A111))</f>
        <v/>
      </c>
      <c r="E111">
        <f>IF($A111="","",XLOOKUP($A111,Returns!A:A,Returns!E:E))</f>
        <v/>
      </c>
      <c r="F111">
        <f>IF(OR($A111="",D111=0),"",C111/D111*E111)</f>
        <v/>
      </c>
      <c r="G111">
        <f>IF($A111="","",C111+F111)</f>
        <v/>
      </c>
      <c r="H111">
        <f>IF($A111="","",SUMIFS(Contributions!E:E,Contributions!C:C,$B111,Contributions!F:F,"Reinvest",Contributions!G:G,$A111))</f>
        <v/>
      </c>
      <c r="I111">
        <f>IF($A111="","",G111-H111)</f>
        <v/>
      </c>
    </row>
    <row r="112">
      <c r="C112">
        <f>IF($A112="","",SUMIFS(Contributions!E:E,Contributions!B:B,$A112,Contributions!C:C,$B112))</f>
        <v/>
      </c>
      <c r="D112">
        <f>IF($A112="","",SUMIFS(Contributions!E:E,Contributions!B:B,$A112))</f>
        <v/>
      </c>
      <c r="E112">
        <f>IF($A112="","",XLOOKUP($A112,Returns!A:A,Returns!E:E))</f>
        <v/>
      </c>
      <c r="F112">
        <f>IF(OR($A112="",D112=0),"",C112/D112*E112)</f>
        <v/>
      </c>
      <c r="G112">
        <f>IF($A112="","",C112+F112)</f>
        <v/>
      </c>
      <c r="H112">
        <f>IF($A112="","",SUMIFS(Contributions!E:E,Contributions!C:C,$B112,Contributions!F:F,"Reinvest",Contributions!G:G,$A112))</f>
        <v/>
      </c>
      <c r="I112">
        <f>IF($A112="","",G112-H112)</f>
        <v/>
      </c>
    </row>
    <row r="113">
      <c r="C113">
        <f>IF($A113="","",SUMIFS(Contributions!E:E,Contributions!B:B,$A113,Contributions!C:C,$B113))</f>
        <v/>
      </c>
      <c r="D113">
        <f>IF($A113="","",SUMIFS(Contributions!E:E,Contributions!B:B,$A113))</f>
        <v/>
      </c>
      <c r="E113">
        <f>IF($A113="","",XLOOKUP($A113,Returns!A:A,Returns!E:E))</f>
        <v/>
      </c>
      <c r="F113">
        <f>IF(OR($A113="",D113=0),"",C113/D113*E113)</f>
        <v/>
      </c>
      <c r="G113">
        <f>IF($A113="","",C113+F113)</f>
        <v/>
      </c>
      <c r="H113">
        <f>IF($A113="","",SUMIFS(Contributions!E:E,Contributions!C:C,$B113,Contributions!F:F,"Reinvest",Contributions!G:G,$A113))</f>
        <v/>
      </c>
      <c r="I113">
        <f>IF($A113="","",G113-H113)</f>
        <v/>
      </c>
    </row>
    <row r="114">
      <c r="C114">
        <f>IF($A114="","",SUMIFS(Contributions!E:E,Contributions!B:B,$A114,Contributions!C:C,$B114))</f>
        <v/>
      </c>
      <c r="D114">
        <f>IF($A114="","",SUMIFS(Contributions!E:E,Contributions!B:B,$A114))</f>
        <v/>
      </c>
      <c r="E114">
        <f>IF($A114="","",XLOOKUP($A114,Returns!A:A,Returns!E:E))</f>
        <v/>
      </c>
      <c r="F114">
        <f>IF(OR($A114="",D114=0),"",C114/D114*E114)</f>
        <v/>
      </c>
      <c r="G114">
        <f>IF($A114="","",C114+F114)</f>
        <v/>
      </c>
      <c r="H114">
        <f>IF($A114="","",SUMIFS(Contributions!E:E,Contributions!C:C,$B114,Contributions!F:F,"Reinvest",Contributions!G:G,$A114))</f>
        <v/>
      </c>
      <c r="I114">
        <f>IF($A114="","",G114-H114)</f>
        <v/>
      </c>
    </row>
    <row r="115">
      <c r="C115">
        <f>IF($A115="","",SUMIFS(Contributions!E:E,Contributions!B:B,$A115,Contributions!C:C,$B115))</f>
        <v/>
      </c>
      <c r="D115">
        <f>IF($A115="","",SUMIFS(Contributions!E:E,Contributions!B:B,$A115))</f>
        <v/>
      </c>
      <c r="E115">
        <f>IF($A115="","",XLOOKUP($A115,Returns!A:A,Returns!E:E))</f>
        <v/>
      </c>
      <c r="F115">
        <f>IF(OR($A115="",D115=0),"",C115/D115*E115)</f>
        <v/>
      </c>
      <c r="G115">
        <f>IF($A115="","",C115+F115)</f>
        <v/>
      </c>
      <c r="H115">
        <f>IF($A115="","",SUMIFS(Contributions!E:E,Contributions!C:C,$B115,Contributions!F:F,"Reinvest",Contributions!G:G,$A115))</f>
        <v/>
      </c>
      <c r="I115">
        <f>IF($A115="","",G115-H115)</f>
        <v/>
      </c>
    </row>
    <row r="116">
      <c r="C116">
        <f>IF($A116="","",SUMIFS(Contributions!E:E,Contributions!B:B,$A116,Contributions!C:C,$B116))</f>
        <v/>
      </c>
      <c r="D116">
        <f>IF($A116="","",SUMIFS(Contributions!E:E,Contributions!B:B,$A116))</f>
        <v/>
      </c>
      <c r="E116">
        <f>IF($A116="","",XLOOKUP($A116,Returns!A:A,Returns!E:E))</f>
        <v/>
      </c>
      <c r="F116">
        <f>IF(OR($A116="",D116=0),"",C116/D116*E116)</f>
        <v/>
      </c>
      <c r="G116">
        <f>IF($A116="","",C116+F116)</f>
        <v/>
      </c>
      <c r="H116">
        <f>IF($A116="","",SUMIFS(Contributions!E:E,Contributions!C:C,$B116,Contributions!F:F,"Reinvest",Contributions!G:G,$A116))</f>
        <v/>
      </c>
      <c r="I116">
        <f>IF($A116="","",G116-H116)</f>
        <v/>
      </c>
    </row>
    <row r="117">
      <c r="C117">
        <f>IF($A117="","",SUMIFS(Contributions!E:E,Contributions!B:B,$A117,Contributions!C:C,$B117))</f>
        <v/>
      </c>
      <c r="D117">
        <f>IF($A117="","",SUMIFS(Contributions!E:E,Contributions!B:B,$A117))</f>
        <v/>
      </c>
      <c r="E117">
        <f>IF($A117="","",XLOOKUP($A117,Returns!A:A,Returns!E:E))</f>
        <v/>
      </c>
      <c r="F117">
        <f>IF(OR($A117="",D117=0),"",C117/D117*E117)</f>
        <v/>
      </c>
      <c r="G117">
        <f>IF($A117="","",C117+F117)</f>
        <v/>
      </c>
      <c r="H117">
        <f>IF($A117="","",SUMIFS(Contributions!E:E,Contributions!C:C,$B117,Contributions!F:F,"Reinvest",Contributions!G:G,$A117))</f>
        <v/>
      </c>
      <c r="I117">
        <f>IF($A117="","",G117-H117)</f>
        <v/>
      </c>
    </row>
    <row r="118">
      <c r="C118">
        <f>IF($A118="","",SUMIFS(Contributions!E:E,Contributions!B:B,$A118,Contributions!C:C,$B118))</f>
        <v/>
      </c>
      <c r="D118">
        <f>IF($A118="","",SUMIFS(Contributions!E:E,Contributions!B:B,$A118))</f>
        <v/>
      </c>
      <c r="E118">
        <f>IF($A118="","",XLOOKUP($A118,Returns!A:A,Returns!E:E))</f>
        <v/>
      </c>
      <c r="F118">
        <f>IF(OR($A118="",D118=0),"",C118/D118*E118)</f>
        <v/>
      </c>
      <c r="G118">
        <f>IF($A118="","",C118+F118)</f>
        <v/>
      </c>
      <c r="H118">
        <f>IF($A118="","",SUMIFS(Contributions!E:E,Contributions!C:C,$B118,Contributions!F:F,"Reinvest",Contributions!G:G,$A118))</f>
        <v/>
      </c>
      <c r="I118">
        <f>IF($A118="","",G118-H118)</f>
        <v/>
      </c>
    </row>
    <row r="119">
      <c r="C119">
        <f>IF($A119="","",SUMIFS(Contributions!E:E,Contributions!B:B,$A119,Contributions!C:C,$B119))</f>
        <v/>
      </c>
      <c r="D119">
        <f>IF($A119="","",SUMIFS(Contributions!E:E,Contributions!B:B,$A119))</f>
        <v/>
      </c>
      <c r="E119">
        <f>IF($A119="","",XLOOKUP($A119,Returns!A:A,Returns!E:E))</f>
        <v/>
      </c>
      <c r="F119">
        <f>IF(OR($A119="",D119=0),"",C119/D119*E119)</f>
        <v/>
      </c>
      <c r="G119">
        <f>IF($A119="","",C119+F119)</f>
        <v/>
      </c>
      <c r="H119">
        <f>IF($A119="","",SUMIFS(Contributions!E:E,Contributions!C:C,$B119,Contributions!F:F,"Reinvest",Contributions!G:G,$A119))</f>
        <v/>
      </c>
      <c r="I119">
        <f>IF($A119="","",G119-H119)</f>
        <v/>
      </c>
    </row>
    <row r="120">
      <c r="C120">
        <f>IF($A120="","",SUMIFS(Contributions!E:E,Contributions!B:B,$A120,Contributions!C:C,$B120))</f>
        <v/>
      </c>
      <c r="D120">
        <f>IF($A120="","",SUMIFS(Contributions!E:E,Contributions!B:B,$A120))</f>
        <v/>
      </c>
      <c r="E120">
        <f>IF($A120="","",XLOOKUP($A120,Returns!A:A,Returns!E:E))</f>
        <v/>
      </c>
      <c r="F120">
        <f>IF(OR($A120="",D120=0),"",C120/D120*E120)</f>
        <v/>
      </c>
      <c r="G120">
        <f>IF($A120="","",C120+F120)</f>
        <v/>
      </c>
      <c r="H120">
        <f>IF($A120="","",SUMIFS(Contributions!E:E,Contributions!C:C,$B120,Contributions!F:F,"Reinvest",Contributions!G:G,$A120))</f>
        <v/>
      </c>
      <c r="I120">
        <f>IF($A120="","",G120-H120)</f>
        <v/>
      </c>
    </row>
    <row r="121">
      <c r="C121">
        <f>IF($A121="","",SUMIFS(Contributions!E:E,Contributions!B:B,$A121,Contributions!C:C,$B121))</f>
        <v/>
      </c>
      <c r="D121">
        <f>IF($A121="","",SUMIFS(Contributions!E:E,Contributions!B:B,$A121))</f>
        <v/>
      </c>
      <c r="E121">
        <f>IF($A121="","",XLOOKUP($A121,Returns!A:A,Returns!E:E))</f>
        <v/>
      </c>
      <c r="F121">
        <f>IF(OR($A121="",D121=0),"",C121/D121*E121)</f>
        <v/>
      </c>
      <c r="G121">
        <f>IF($A121="","",C121+F121)</f>
        <v/>
      </c>
      <c r="H121">
        <f>IF($A121="","",SUMIFS(Contributions!E:E,Contributions!C:C,$B121,Contributions!F:F,"Reinvest",Contributions!G:G,$A121))</f>
        <v/>
      </c>
      <c r="I121">
        <f>IF($A121="","",G121-H121)</f>
        <v/>
      </c>
    </row>
    <row r="122">
      <c r="C122">
        <f>IF($A122="","",SUMIFS(Contributions!E:E,Contributions!B:B,$A122,Contributions!C:C,$B122))</f>
        <v/>
      </c>
      <c r="D122">
        <f>IF($A122="","",SUMIFS(Contributions!E:E,Contributions!B:B,$A122))</f>
        <v/>
      </c>
      <c r="E122">
        <f>IF($A122="","",XLOOKUP($A122,Returns!A:A,Returns!E:E))</f>
        <v/>
      </c>
      <c r="F122">
        <f>IF(OR($A122="",D122=0),"",C122/D122*E122)</f>
        <v/>
      </c>
      <c r="G122">
        <f>IF($A122="","",C122+F122)</f>
        <v/>
      </c>
      <c r="H122">
        <f>IF($A122="","",SUMIFS(Contributions!E:E,Contributions!C:C,$B122,Contributions!F:F,"Reinvest",Contributions!G:G,$A122))</f>
        <v/>
      </c>
      <c r="I122">
        <f>IF($A122="","",G122-H122)</f>
        <v/>
      </c>
    </row>
    <row r="123">
      <c r="C123">
        <f>IF($A123="","",SUMIFS(Contributions!E:E,Contributions!B:B,$A123,Contributions!C:C,$B123))</f>
        <v/>
      </c>
      <c r="D123">
        <f>IF($A123="","",SUMIFS(Contributions!E:E,Contributions!B:B,$A123))</f>
        <v/>
      </c>
      <c r="E123">
        <f>IF($A123="","",XLOOKUP($A123,Returns!A:A,Returns!E:E))</f>
        <v/>
      </c>
      <c r="F123">
        <f>IF(OR($A123="",D123=0),"",C123/D123*E123)</f>
        <v/>
      </c>
      <c r="G123">
        <f>IF($A123="","",C123+F123)</f>
        <v/>
      </c>
      <c r="H123">
        <f>IF($A123="","",SUMIFS(Contributions!E:E,Contributions!C:C,$B123,Contributions!F:F,"Reinvest",Contributions!G:G,$A123))</f>
        <v/>
      </c>
      <c r="I123">
        <f>IF($A123="","",G123-H123)</f>
        <v/>
      </c>
    </row>
    <row r="124">
      <c r="C124">
        <f>IF($A124="","",SUMIFS(Contributions!E:E,Contributions!B:B,$A124,Contributions!C:C,$B124))</f>
        <v/>
      </c>
      <c r="D124">
        <f>IF($A124="","",SUMIFS(Contributions!E:E,Contributions!B:B,$A124))</f>
        <v/>
      </c>
      <c r="E124">
        <f>IF($A124="","",XLOOKUP($A124,Returns!A:A,Returns!E:E))</f>
        <v/>
      </c>
      <c r="F124">
        <f>IF(OR($A124="",D124=0),"",C124/D124*E124)</f>
        <v/>
      </c>
      <c r="G124">
        <f>IF($A124="","",C124+F124)</f>
        <v/>
      </c>
      <c r="H124">
        <f>IF($A124="","",SUMIFS(Contributions!E:E,Contributions!C:C,$B124,Contributions!F:F,"Reinvest",Contributions!G:G,$A124))</f>
        <v/>
      </c>
      <c r="I124">
        <f>IF($A124="","",G124-H124)</f>
        <v/>
      </c>
    </row>
    <row r="125">
      <c r="C125">
        <f>IF($A125="","",SUMIFS(Contributions!E:E,Contributions!B:B,$A125,Contributions!C:C,$B125))</f>
        <v/>
      </c>
      <c r="D125">
        <f>IF($A125="","",SUMIFS(Contributions!E:E,Contributions!B:B,$A125))</f>
        <v/>
      </c>
      <c r="E125">
        <f>IF($A125="","",XLOOKUP($A125,Returns!A:A,Returns!E:E))</f>
        <v/>
      </c>
      <c r="F125">
        <f>IF(OR($A125="",D125=0),"",C125/D125*E125)</f>
        <v/>
      </c>
      <c r="G125">
        <f>IF($A125="","",C125+F125)</f>
        <v/>
      </c>
      <c r="H125">
        <f>IF($A125="","",SUMIFS(Contributions!E:E,Contributions!C:C,$B125,Contributions!F:F,"Reinvest",Contributions!G:G,$A125))</f>
        <v/>
      </c>
      <c r="I125">
        <f>IF($A125="","",G125-H125)</f>
        <v/>
      </c>
    </row>
    <row r="126">
      <c r="C126">
        <f>IF($A126="","",SUMIFS(Contributions!E:E,Contributions!B:B,$A126,Contributions!C:C,$B126))</f>
        <v/>
      </c>
      <c r="D126">
        <f>IF($A126="","",SUMIFS(Contributions!E:E,Contributions!B:B,$A126))</f>
        <v/>
      </c>
      <c r="E126">
        <f>IF($A126="","",XLOOKUP($A126,Returns!A:A,Returns!E:E))</f>
        <v/>
      </c>
      <c r="F126">
        <f>IF(OR($A126="",D126=0),"",C126/D126*E126)</f>
        <v/>
      </c>
      <c r="G126">
        <f>IF($A126="","",C126+F126)</f>
        <v/>
      </c>
      <c r="H126">
        <f>IF($A126="","",SUMIFS(Contributions!E:E,Contributions!C:C,$B126,Contributions!F:F,"Reinvest",Contributions!G:G,$A126))</f>
        <v/>
      </c>
      <c r="I126">
        <f>IF($A126="","",G126-H126)</f>
        <v/>
      </c>
    </row>
    <row r="127">
      <c r="C127">
        <f>IF($A127="","",SUMIFS(Contributions!E:E,Contributions!B:B,$A127,Contributions!C:C,$B127))</f>
        <v/>
      </c>
      <c r="D127">
        <f>IF($A127="","",SUMIFS(Contributions!E:E,Contributions!B:B,$A127))</f>
        <v/>
      </c>
      <c r="E127">
        <f>IF($A127="","",XLOOKUP($A127,Returns!A:A,Returns!E:E))</f>
        <v/>
      </c>
      <c r="F127">
        <f>IF(OR($A127="",D127=0),"",C127/D127*E127)</f>
        <v/>
      </c>
      <c r="G127">
        <f>IF($A127="","",C127+F127)</f>
        <v/>
      </c>
      <c r="H127">
        <f>IF($A127="","",SUMIFS(Contributions!E:E,Contributions!C:C,$B127,Contributions!F:F,"Reinvest",Contributions!G:G,$A127))</f>
        <v/>
      </c>
      <c r="I127">
        <f>IF($A127="","",G127-H127)</f>
        <v/>
      </c>
    </row>
    <row r="128">
      <c r="C128">
        <f>IF($A128="","",SUMIFS(Contributions!E:E,Contributions!B:B,$A128,Contributions!C:C,$B128))</f>
        <v/>
      </c>
      <c r="D128">
        <f>IF($A128="","",SUMIFS(Contributions!E:E,Contributions!B:B,$A128))</f>
        <v/>
      </c>
      <c r="E128">
        <f>IF($A128="","",XLOOKUP($A128,Returns!A:A,Returns!E:E))</f>
        <v/>
      </c>
      <c r="F128">
        <f>IF(OR($A128="",D128=0),"",C128/D128*E128)</f>
        <v/>
      </c>
      <c r="G128">
        <f>IF($A128="","",C128+F128)</f>
        <v/>
      </c>
      <c r="H128">
        <f>IF($A128="","",SUMIFS(Contributions!E:E,Contributions!C:C,$B128,Contributions!F:F,"Reinvest",Contributions!G:G,$A128))</f>
        <v/>
      </c>
      <c r="I128">
        <f>IF($A128="","",G128-H128)</f>
        <v/>
      </c>
    </row>
    <row r="129">
      <c r="C129">
        <f>IF($A129="","",SUMIFS(Contributions!E:E,Contributions!B:B,$A129,Contributions!C:C,$B129))</f>
        <v/>
      </c>
      <c r="D129">
        <f>IF($A129="","",SUMIFS(Contributions!E:E,Contributions!B:B,$A129))</f>
        <v/>
      </c>
      <c r="E129">
        <f>IF($A129="","",XLOOKUP($A129,Returns!A:A,Returns!E:E))</f>
        <v/>
      </c>
      <c r="F129">
        <f>IF(OR($A129="",D129=0),"",C129/D129*E129)</f>
        <v/>
      </c>
      <c r="G129">
        <f>IF($A129="","",C129+F129)</f>
        <v/>
      </c>
      <c r="H129">
        <f>IF($A129="","",SUMIFS(Contributions!E:E,Contributions!C:C,$B129,Contributions!F:F,"Reinvest",Contributions!G:G,$A129))</f>
        <v/>
      </c>
      <c r="I129">
        <f>IF($A129="","",G129-H129)</f>
        <v/>
      </c>
    </row>
    <row r="130">
      <c r="C130">
        <f>IF($A130="","",SUMIFS(Contributions!E:E,Contributions!B:B,$A130,Contributions!C:C,$B130))</f>
        <v/>
      </c>
      <c r="D130">
        <f>IF($A130="","",SUMIFS(Contributions!E:E,Contributions!B:B,$A130))</f>
        <v/>
      </c>
      <c r="E130">
        <f>IF($A130="","",XLOOKUP($A130,Returns!A:A,Returns!E:E))</f>
        <v/>
      </c>
      <c r="F130">
        <f>IF(OR($A130="",D130=0),"",C130/D130*E130)</f>
        <v/>
      </c>
      <c r="G130">
        <f>IF($A130="","",C130+F130)</f>
        <v/>
      </c>
      <c r="H130">
        <f>IF($A130="","",SUMIFS(Contributions!E:E,Contributions!C:C,$B130,Contributions!F:F,"Reinvest",Contributions!G:G,$A130))</f>
        <v/>
      </c>
      <c r="I130">
        <f>IF($A130="","",G130-H130)</f>
        <v/>
      </c>
    </row>
    <row r="131">
      <c r="C131">
        <f>IF($A131="","",SUMIFS(Contributions!E:E,Contributions!B:B,$A131,Contributions!C:C,$B131))</f>
        <v/>
      </c>
      <c r="D131">
        <f>IF($A131="","",SUMIFS(Contributions!E:E,Contributions!B:B,$A131))</f>
        <v/>
      </c>
      <c r="E131">
        <f>IF($A131="","",XLOOKUP($A131,Returns!A:A,Returns!E:E))</f>
        <v/>
      </c>
      <c r="F131">
        <f>IF(OR($A131="",D131=0),"",C131/D131*E131)</f>
        <v/>
      </c>
      <c r="G131">
        <f>IF($A131="","",C131+F131)</f>
        <v/>
      </c>
      <c r="H131">
        <f>IF($A131="","",SUMIFS(Contributions!E:E,Contributions!C:C,$B131,Contributions!F:F,"Reinvest",Contributions!G:G,$A131))</f>
        <v/>
      </c>
      <c r="I131">
        <f>IF($A131="","",G131-H131)</f>
        <v/>
      </c>
    </row>
    <row r="132">
      <c r="C132">
        <f>IF($A132="","",SUMIFS(Contributions!E:E,Contributions!B:B,$A132,Contributions!C:C,$B132))</f>
        <v/>
      </c>
      <c r="D132">
        <f>IF($A132="","",SUMIFS(Contributions!E:E,Contributions!B:B,$A132))</f>
        <v/>
      </c>
      <c r="E132">
        <f>IF($A132="","",XLOOKUP($A132,Returns!A:A,Returns!E:E))</f>
        <v/>
      </c>
      <c r="F132">
        <f>IF(OR($A132="",D132=0),"",C132/D132*E132)</f>
        <v/>
      </c>
      <c r="G132">
        <f>IF($A132="","",C132+F132)</f>
        <v/>
      </c>
      <c r="H132">
        <f>IF($A132="","",SUMIFS(Contributions!E:E,Contributions!C:C,$B132,Contributions!F:F,"Reinvest",Contributions!G:G,$A132))</f>
        <v/>
      </c>
      <c r="I132">
        <f>IF($A132="","",G132-H132)</f>
        <v/>
      </c>
    </row>
    <row r="133">
      <c r="C133">
        <f>IF($A133="","",SUMIFS(Contributions!E:E,Contributions!B:B,$A133,Contributions!C:C,$B133))</f>
        <v/>
      </c>
      <c r="D133">
        <f>IF($A133="","",SUMIFS(Contributions!E:E,Contributions!B:B,$A133))</f>
        <v/>
      </c>
      <c r="E133">
        <f>IF($A133="","",XLOOKUP($A133,Returns!A:A,Returns!E:E))</f>
        <v/>
      </c>
      <c r="F133">
        <f>IF(OR($A133="",D133=0),"",C133/D133*E133)</f>
        <v/>
      </c>
      <c r="G133">
        <f>IF($A133="","",C133+F133)</f>
        <v/>
      </c>
      <c r="H133">
        <f>IF($A133="","",SUMIFS(Contributions!E:E,Contributions!C:C,$B133,Contributions!F:F,"Reinvest",Contributions!G:G,$A133))</f>
        <v/>
      </c>
      <c r="I133">
        <f>IF($A133="","",G133-H133)</f>
        <v/>
      </c>
    </row>
    <row r="134">
      <c r="C134">
        <f>IF($A134="","",SUMIFS(Contributions!E:E,Contributions!B:B,$A134,Contributions!C:C,$B134))</f>
        <v/>
      </c>
      <c r="D134">
        <f>IF($A134="","",SUMIFS(Contributions!E:E,Contributions!B:B,$A134))</f>
        <v/>
      </c>
      <c r="E134">
        <f>IF($A134="","",XLOOKUP($A134,Returns!A:A,Returns!E:E))</f>
        <v/>
      </c>
      <c r="F134">
        <f>IF(OR($A134="",D134=0),"",C134/D134*E134)</f>
        <v/>
      </c>
      <c r="G134">
        <f>IF($A134="","",C134+F134)</f>
        <v/>
      </c>
      <c r="H134">
        <f>IF($A134="","",SUMIFS(Contributions!E:E,Contributions!C:C,$B134,Contributions!F:F,"Reinvest",Contributions!G:G,$A134))</f>
        <v/>
      </c>
      <c r="I134">
        <f>IF($A134="","",G134-H134)</f>
        <v/>
      </c>
    </row>
    <row r="135">
      <c r="C135">
        <f>IF($A135="","",SUMIFS(Contributions!E:E,Contributions!B:B,$A135,Contributions!C:C,$B135))</f>
        <v/>
      </c>
      <c r="D135">
        <f>IF($A135="","",SUMIFS(Contributions!E:E,Contributions!B:B,$A135))</f>
        <v/>
      </c>
      <c r="E135">
        <f>IF($A135="","",XLOOKUP($A135,Returns!A:A,Returns!E:E))</f>
        <v/>
      </c>
      <c r="F135">
        <f>IF(OR($A135="",D135=0),"",C135/D135*E135)</f>
        <v/>
      </c>
      <c r="G135">
        <f>IF($A135="","",C135+F135)</f>
        <v/>
      </c>
      <c r="H135">
        <f>IF($A135="","",SUMIFS(Contributions!E:E,Contributions!C:C,$B135,Contributions!F:F,"Reinvest",Contributions!G:G,$A135))</f>
        <v/>
      </c>
      <c r="I135">
        <f>IF($A135="","",G135-H135)</f>
        <v/>
      </c>
    </row>
    <row r="136">
      <c r="C136">
        <f>IF($A136="","",SUMIFS(Contributions!E:E,Contributions!B:B,$A136,Contributions!C:C,$B136))</f>
        <v/>
      </c>
      <c r="D136">
        <f>IF($A136="","",SUMIFS(Contributions!E:E,Contributions!B:B,$A136))</f>
        <v/>
      </c>
      <c r="E136">
        <f>IF($A136="","",XLOOKUP($A136,Returns!A:A,Returns!E:E))</f>
        <v/>
      </c>
      <c r="F136">
        <f>IF(OR($A136="",D136=0),"",C136/D136*E136)</f>
        <v/>
      </c>
      <c r="G136">
        <f>IF($A136="","",C136+F136)</f>
        <v/>
      </c>
      <c r="H136">
        <f>IF($A136="","",SUMIFS(Contributions!E:E,Contributions!C:C,$B136,Contributions!F:F,"Reinvest",Contributions!G:G,$A136))</f>
        <v/>
      </c>
      <c r="I136">
        <f>IF($A136="","",G136-H136)</f>
        <v/>
      </c>
    </row>
    <row r="137">
      <c r="C137">
        <f>IF($A137="","",SUMIFS(Contributions!E:E,Contributions!B:B,$A137,Contributions!C:C,$B137))</f>
        <v/>
      </c>
      <c r="D137">
        <f>IF($A137="","",SUMIFS(Contributions!E:E,Contributions!B:B,$A137))</f>
        <v/>
      </c>
      <c r="E137">
        <f>IF($A137="","",XLOOKUP($A137,Returns!A:A,Returns!E:E))</f>
        <v/>
      </c>
      <c r="F137">
        <f>IF(OR($A137="",D137=0),"",C137/D137*E137)</f>
        <v/>
      </c>
      <c r="G137">
        <f>IF($A137="","",C137+F137)</f>
        <v/>
      </c>
      <c r="H137">
        <f>IF($A137="","",SUMIFS(Contributions!E:E,Contributions!C:C,$B137,Contributions!F:F,"Reinvest",Contributions!G:G,$A137))</f>
        <v/>
      </c>
      <c r="I137">
        <f>IF($A137="","",G137-H137)</f>
        <v/>
      </c>
    </row>
    <row r="138">
      <c r="C138">
        <f>IF($A138="","",SUMIFS(Contributions!E:E,Contributions!B:B,$A138,Contributions!C:C,$B138))</f>
        <v/>
      </c>
      <c r="D138">
        <f>IF($A138="","",SUMIFS(Contributions!E:E,Contributions!B:B,$A138))</f>
        <v/>
      </c>
      <c r="E138">
        <f>IF($A138="","",XLOOKUP($A138,Returns!A:A,Returns!E:E))</f>
        <v/>
      </c>
      <c r="F138">
        <f>IF(OR($A138="",D138=0),"",C138/D138*E138)</f>
        <v/>
      </c>
      <c r="G138">
        <f>IF($A138="","",C138+F138)</f>
        <v/>
      </c>
      <c r="H138">
        <f>IF($A138="","",SUMIFS(Contributions!E:E,Contributions!C:C,$B138,Contributions!F:F,"Reinvest",Contributions!G:G,$A138))</f>
        <v/>
      </c>
      <c r="I138">
        <f>IF($A138="","",G138-H138)</f>
        <v/>
      </c>
    </row>
    <row r="139">
      <c r="C139">
        <f>IF($A139="","",SUMIFS(Contributions!E:E,Contributions!B:B,$A139,Contributions!C:C,$B139))</f>
        <v/>
      </c>
      <c r="D139">
        <f>IF($A139="","",SUMIFS(Contributions!E:E,Contributions!B:B,$A139))</f>
        <v/>
      </c>
      <c r="E139">
        <f>IF($A139="","",XLOOKUP($A139,Returns!A:A,Returns!E:E))</f>
        <v/>
      </c>
      <c r="F139">
        <f>IF(OR($A139="",D139=0),"",C139/D139*E139)</f>
        <v/>
      </c>
      <c r="G139">
        <f>IF($A139="","",C139+F139)</f>
        <v/>
      </c>
      <c r="H139">
        <f>IF($A139="","",SUMIFS(Contributions!E:E,Contributions!C:C,$B139,Contributions!F:F,"Reinvest",Contributions!G:G,$A139))</f>
        <v/>
      </c>
      <c r="I139">
        <f>IF($A139="","",G139-H139)</f>
        <v/>
      </c>
    </row>
    <row r="140">
      <c r="C140">
        <f>IF($A140="","",SUMIFS(Contributions!E:E,Contributions!B:B,$A140,Contributions!C:C,$B140))</f>
        <v/>
      </c>
      <c r="D140">
        <f>IF($A140="","",SUMIFS(Contributions!E:E,Contributions!B:B,$A140))</f>
        <v/>
      </c>
      <c r="E140">
        <f>IF($A140="","",XLOOKUP($A140,Returns!A:A,Returns!E:E))</f>
        <v/>
      </c>
      <c r="F140">
        <f>IF(OR($A140="",D140=0),"",C140/D140*E140)</f>
        <v/>
      </c>
      <c r="G140">
        <f>IF($A140="","",C140+F140)</f>
        <v/>
      </c>
      <c r="H140">
        <f>IF($A140="","",SUMIFS(Contributions!E:E,Contributions!C:C,$B140,Contributions!F:F,"Reinvest",Contributions!G:G,$A140))</f>
        <v/>
      </c>
      <c r="I140">
        <f>IF($A140="","",G140-H140)</f>
        <v/>
      </c>
    </row>
    <row r="141">
      <c r="C141">
        <f>IF($A141="","",SUMIFS(Contributions!E:E,Contributions!B:B,$A141,Contributions!C:C,$B141))</f>
        <v/>
      </c>
      <c r="D141">
        <f>IF($A141="","",SUMIFS(Contributions!E:E,Contributions!B:B,$A141))</f>
        <v/>
      </c>
      <c r="E141">
        <f>IF($A141="","",XLOOKUP($A141,Returns!A:A,Returns!E:E))</f>
        <v/>
      </c>
      <c r="F141">
        <f>IF(OR($A141="",D141=0),"",C141/D141*E141)</f>
        <v/>
      </c>
      <c r="G141">
        <f>IF($A141="","",C141+F141)</f>
        <v/>
      </c>
      <c r="H141">
        <f>IF($A141="","",SUMIFS(Contributions!E:E,Contributions!C:C,$B141,Contributions!F:F,"Reinvest",Contributions!G:G,$A141))</f>
        <v/>
      </c>
      <c r="I141">
        <f>IF($A141="","",G141-H141)</f>
        <v/>
      </c>
    </row>
    <row r="142">
      <c r="C142">
        <f>IF($A142="","",SUMIFS(Contributions!E:E,Contributions!B:B,$A142,Contributions!C:C,$B142))</f>
        <v/>
      </c>
      <c r="D142">
        <f>IF($A142="","",SUMIFS(Contributions!E:E,Contributions!B:B,$A142))</f>
        <v/>
      </c>
      <c r="E142">
        <f>IF($A142="","",XLOOKUP($A142,Returns!A:A,Returns!E:E))</f>
        <v/>
      </c>
      <c r="F142">
        <f>IF(OR($A142="",D142=0),"",C142/D142*E142)</f>
        <v/>
      </c>
      <c r="G142">
        <f>IF($A142="","",C142+F142)</f>
        <v/>
      </c>
      <c r="H142">
        <f>IF($A142="","",SUMIFS(Contributions!E:E,Contributions!C:C,$B142,Contributions!F:F,"Reinvest",Contributions!G:G,$A142))</f>
        <v/>
      </c>
      <c r="I142">
        <f>IF($A142="","",G142-H142)</f>
        <v/>
      </c>
    </row>
    <row r="143">
      <c r="C143">
        <f>IF($A143="","",SUMIFS(Contributions!E:E,Contributions!B:B,$A143,Contributions!C:C,$B143))</f>
        <v/>
      </c>
      <c r="D143">
        <f>IF($A143="","",SUMIFS(Contributions!E:E,Contributions!B:B,$A143))</f>
        <v/>
      </c>
      <c r="E143">
        <f>IF($A143="","",XLOOKUP($A143,Returns!A:A,Returns!E:E))</f>
        <v/>
      </c>
      <c r="F143">
        <f>IF(OR($A143="",D143=0),"",C143/D143*E143)</f>
        <v/>
      </c>
      <c r="G143">
        <f>IF($A143="","",C143+F143)</f>
        <v/>
      </c>
      <c r="H143">
        <f>IF($A143="","",SUMIFS(Contributions!E:E,Contributions!C:C,$B143,Contributions!F:F,"Reinvest",Contributions!G:G,$A143))</f>
        <v/>
      </c>
      <c r="I143">
        <f>IF($A143="","",G143-H143)</f>
        <v/>
      </c>
    </row>
    <row r="144">
      <c r="C144">
        <f>IF($A144="","",SUMIFS(Contributions!E:E,Contributions!B:B,$A144,Contributions!C:C,$B144))</f>
        <v/>
      </c>
      <c r="D144">
        <f>IF($A144="","",SUMIFS(Contributions!E:E,Contributions!B:B,$A144))</f>
        <v/>
      </c>
      <c r="E144">
        <f>IF($A144="","",XLOOKUP($A144,Returns!A:A,Returns!E:E))</f>
        <v/>
      </c>
      <c r="F144">
        <f>IF(OR($A144="",D144=0),"",C144/D144*E144)</f>
        <v/>
      </c>
      <c r="G144">
        <f>IF($A144="","",C144+F144)</f>
        <v/>
      </c>
      <c r="H144">
        <f>IF($A144="","",SUMIFS(Contributions!E:E,Contributions!C:C,$B144,Contributions!F:F,"Reinvest",Contributions!G:G,$A144))</f>
        <v/>
      </c>
      <c r="I144">
        <f>IF($A144="","",G144-H144)</f>
        <v/>
      </c>
    </row>
    <row r="145">
      <c r="C145">
        <f>IF($A145="","",SUMIFS(Contributions!E:E,Contributions!B:B,$A145,Contributions!C:C,$B145))</f>
        <v/>
      </c>
      <c r="D145">
        <f>IF($A145="","",SUMIFS(Contributions!E:E,Contributions!B:B,$A145))</f>
        <v/>
      </c>
      <c r="E145">
        <f>IF($A145="","",XLOOKUP($A145,Returns!A:A,Returns!E:E))</f>
        <v/>
      </c>
      <c r="F145">
        <f>IF(OR($A145="",D145=0),"",C145/D145*E145)</f>
        <v/>
      </c>
      <c r="G145">
        <f>IF($A145="","",C145+F145)</f>
        <v/>
      </c>
      <c r="H145">
        <f>IF($A145="","",SUMIFS(Contributions!E:E,Contributions!C:C,$B145,Contributions!F:F,"Reinvest",Contributions!G:G,$A145))</f>
        <v/>
      </c>
      <c r="I145">
        <f>IF($A145="","",G145-H145)</f>
        <v/>
      </c>
    </row>
    <row r="146">
      <c r="C146">
        <f>IF($A146="","",SUMIFS(Contributions!E:E,Contributions!B:B,$A146,Contributions!C:C,$B146))</f>
        <v/>
      </c>
      <c r="D146">
        <f>IF($A146="","",SUMIFS(Contributions!E:E,Contributions!B:B,$A146))</f>
        <v/>
      </c>
      <c r="E146">
        <f>IF($A146="","",XLOOKUP($A146,Returns!A:A,Returns!E:E))</f>
        <v/>
      </c>
      <c r="F146">
        <f>IF(OR($A146="",D146=0),"",C146/D146*E146)</f>
        <v/>
      </c>
      <c r="G146">
        <f>IF($A146="","",C146+F146)</f>
        <v/>
      </c>
      <c r="H146">
        <f>IF($A146="","",SUMIFS(Contributions!E:E,Contributions!C:C,$B146,Contributions!F:F,"Reinvest",Contributions!G:G,$A146))</f>
        <v/>
      </c>
      <c r="I146">
        <f>IF($A146="","",G146-H146)</f>
        <v/>
      </c>
    </row>
    <row r="147">
      <c r="C147">
        <f>IF($A147="","",SUMIFS(Contributions!E:E,Contributions!B:B,$A147,Contributions!C:C,$B147))</f>
        <v/>
      </c>
      <c r="D147">
        <f>IF($A147="","",SUMIFS(Contributions!E:E,Contributions!B:B,$A147))</f>
        <v/>
      </c>
      <c r="E147">
        <f>IF($A147="","",XLOOKUP($A147,Returns!A:A,Returns!E:E))</f>
        <v/>
      </c>
      <c r="F147">
        <f>IF(OR($A147="",D147=0),"",C147/D147*E147)</f>
        <v/>
      </c>
      <c r="G147">
        <f>IF($A147="","",C147+F147)</f>
        <v/>
      </c>
      <c r="H147">
        <f>IF($A147="","",SUMIFS(Contributions!E:E,Contributions!C:C,$B147,Contributions!F:F,"Reinvest",Contributions!G:G,$A147))</f>
        <v/>
      </c>
      <c r="I147">
        <f>IF($A147="","",G147-H147)</f>
        <v/>
      </c>
    </row>
    <row r="148">
      <c r="C148">
        <f>IF($A148="","",SUMIFS(Contributions!E:E,Contributions!B:B,$A148,Contributions!C:C,$B148))</f>
        <v/>
      </c>
      <c r="D148">
        <f>IF($A148="","",SUMIFS(Contributions!E:E,Contributions!B:B,$A148))</f>
        <v/>
      </c>
      <c r="E148">
        <f>IF($A148="","",XLOOKUP($A148,Returns!A:A,Returns!E:E))</f>
        <v/>
      </c>
      <c r="F148">
        <f>IF(OR($A148="",D148=0),"",C148/D148*E148)</f>
        <v/>
      </c>
      <c r="G148">
        <f>IF($A148="","",C148+F148)</f>
        <v/>
      </c>
      <c r="H148">
        <f>IF($A148="","",SUMIFS(Contributions!E:E,Contributions!C:C,$B148,Contributions!F:F,"Reinvest",Contributions!G:G,$A148))</f>
        <v/>
      </c>
      <c r="I148">
        <f>IF($A148="","",G148-H148)</f>
        <v/>
      </c>
    </row>
    <row r="149">
      <c r="C149">
        <f>IF($A149="","",SUMIFS(Contributions!E:E,Contributions!B:B,$A149,Contributions!C:C,$B149))</f>
        <v/>
      </c>
      <c r="D149">
        <f>IF($A149="","",SUMIFS(Contributions!E:E,Contributions!B:B,$A149))</f>
        <v/>
      </c>
      <c r="E149">
        <f>IF($A149="","",XLOOKUP($A149,Returns!A:A,Returns!E:E))</f>
        <v/>
      </c>
      <c r="F149">
        <f>IF(OR($A149="",D149=0),"",C149/D149*E149)</f>
        <v/>
      </c>
      <c r="G149">
        <f>IF($A149="","",C149+F149)</f>
        <v/>
      </c>
      <c r="H149">
        <f>IF($A149="","",SUMIFS(Contributions!E:E,Contributions!C:C,$B149,Contributions!F:F,"Reinvest",Contributions!G:G,$A149))</f>
        <v/>
      </c>
      <c r="I149">
        <f>IF($A149="","",G149-H149)</f>
        <v/>
      </c>
    </row>
    <row r="150">
      <c r="C150">
        <f>IF($A150="","",SUMIFS(Contributions!E:E,Contributions!B:B,$A150,Contributions!C:C,$B150))</f>
        <v/>
      </c>
      <c r="D150">
        <f>IF($A150="","",SUMIFS(Contributions!E:E,Contributions!B:B,$A150))</f>
        <v/>
      </c>
      <c r="E150">
        <f>IF($A150="","",XLOOKUP($A150,Returns!A:A,Returns!E:E))</f>
        <v/>
      </c>
      <c r="F150">
        <f>IF(OR($A150="",D150=0),"",C150/D150*E150)</f>
        <v/>
      </c>
      <c r="G150">
        <f>IF($A150="","",C150+F150)</f>
        <v/>
      </c>
      <c r="H150">
        <f>IF($A150="","",SUMIFS(Contributions!E:E,Contributions!C:C,$B150,Contributions!F:F,"Reinvest",Contributions!G:G,$A150))</f>
        <v/>
      </c>
      <c r="I150">
        <f>IF($A150="","",G150-H150)</f>
        <v/>
      </c>
    </row>
    <row r="151">
      <c r="C151">
        <f>IF($A151="","",SUMIFS(Contributions!E:E,Contributions!B:B,$A151,Contributions!C:C,$B151))</f>
        <v/>
      </c>
      <c r="D151">
        <f>IF($A151="","",SUMIFS(Contributions!E:E,Contributions!B:B,$A151))</f>
        <v/>
      </c>
      <c r="E151">
        <f>IF($A151="","",XLOOKUP($A151,Returns!A:A,Returns!E:E))</f>
        <v/>
      </c>
      <c r="F151">
        <f>IF(OR($A151="",D151=0),"",C151/D151*E151)</f>
        <v/>
      </c>
      <c r="G151">
        <f>IF($A151="","",C151+F151)</f>
        <v/>
      </c>
      <c r="H151">
        <f>IF($A151="","",SUMIFS(Contributions!E:E,Contributions!C:C,$B151,Contributions!F:F,"Reinvest",Contributions!G:G,$A151))</f>
        <v/>
      </c>
      <c r="I151">
        <f>IF($A151="","",G151-H151)</f>
        <v/>
      </c>
    </row>
    <row r="152">
      <c r="C152">
        <f>IF($A152="","",SUMIFS(Contributions!E:E,Contributions!B:B,$A152,Contributions!C:C,$B152))</f>
        <v/>
      </c>
      <c r="D152">
        <f>IF($A152="","",SUMIFS(Contributions!E:E,Contributions!B:B,$A152))</f>
        <v/>
      </c>
      <c r="E152">
        <f>IF($A152="","",XLOOKUP($A152,Returns!A:A,Returns!E:E))</f>
        <v/>
      </c>
      <c r="F152">
        <f>IF(OR($A152="",D152=0),"",C152/D152*E152)</f>
        <v/>
      </c>
      <c r="G152">
        <f>IF($A152="","",C152+F152)</f>
        <v/>
      </c>
      <c r="H152">
        <f>IF($A152="","",SUMIFS(Contributions!E:E,Contributions!C:C,$B152,Contributions!F:F,"Reinvest",Contributions!G:G,$A152))</f>
        <v/>
      </c>
      <c r="I152">
        <f>IF($A152="","",G152-H152)</f>
        <v/>
      </c>
    </row>
    <row r="153">
      <c r="C153">
        <f>IF($A153="","",SUMIFS(Contributions!E:E,Contributions!B:B,$A153,Contributions!C:C,$B153))</f>
        <v/>
      </c>
      <c r="D153">
        <f>IF($A153="","",SUMIFS(Contributions!E:E,Contributions!B:B,$A153))</f>
        <v/>
      </c>
      <c r="E153">
        <f>IF($A153="","",XLOOKUP($A153,Returns!A:A,Returns!E:E))</f>
        <v/>
      </c>
      <c r="F153">
        <f>IF(OR($A153="",D153=0),"",C153/D153*E153)</f>
        <v/>
      </c>
      <c r="G153">
        <f>IF($A153="","",C153+F153)</f>
        <v/>
      </c>
      <c r="H153">
        <f>IF($A153="","",SUMIFS(Contributions!E:E,Contributions!C:C,$B153,Contributions!F:F,"Reinvest",Contributions!G:G,$A153))</f>
        <v/>
      </c>
      <c r="I153">
        <f>IF($A153="","",G153-H153)</f>
        <v/>
      </c>
    </row>
    <row r="154">
      <c r="C154">
        <f>IF($A154="","",SUMIFS(Contributions!E:E,Contributions!B:B,$A154,Contributions!C:C,$B154))</f>
        <v/>
      </c>
      <c r="D154">
        <f>IF($A154="","",SUMIFS(Contributions!E:E,Contributions!B:B,$A154))</f>
        <v/>
      </c>
      <c r="E154">
        <f>IF($A154="","",XLOOKUP($A154,Returns!A:A,Returns!E:E))</f>
        <v/>
      </c>
      <c r="F154">
        <f>IF(OR($A154="",D154=0),"",C154/D154*E154)</f>
        <v/>
      </c>
      <c r="G154">
        <f>IF($A154="","",C154+F154)</f>
        <v/>
      </c>
      <c r="H154">
        <f>IF($A154="","",SUMIFS(Contributions!E:E,Contributions!C:C,$B154,Contributions!F:F,"Reinvest",Contributions!G:G,$A154))</f>
        <v/>
      </c>
      <c r="I154">
        <f>IF($A154="","",G154-H154)</f>
        <v/>
      </c>
    </row>
    <row r="155">
      <c r="C155">
        <f>IF($A155="","",SUMIFS(Contributions!E:E,Contributions!B:B,$A155,Contributions!C:C,$B155))</f>
        <v/>
      </c>
      <c r="D155">
        <f>IF($A155="","",SUMIFS(Contributions!E:E,Contributions!B:B,$A155))</f>
        <v/>
      </c>
      <c r="E155">
        <f>IF($A155="","",XLOOKUP($A155,Returns!A:A,Returns!E:E))</f>
        <v/>
      </c>
      <c r="F155">
        <f>IF(OR($A155="",D155=0),"",C155/D155*E155)</f>
        <v/>
      </c>
      <c r="G155">
        <f>IF($A155="","",C155+F155)</f>
        <v/>
      </c>
      <c r="H155">
        <f>IF($A155="","",SUMIFS(Contributions!E:E,Contributions!C:C,$B155,Contributions!F:F,"Reinvest",Contributions!G:G,$A155))</f>
        <v/>
      </c>
      <c r="I155">
        <f>IF($A155="","",G155-H155)</f>
        <v/>
      </c>
    </row>
    <row r="156">
      <c r="C156">
        <f>IF($A156="","",SUMIFS(Contributions!E:E,Contributions!B:B,$A156,Contributions!C:C,$B156))</f>
        <v/>
      </c>
      <c r="D156">
        <f>IF($A156="","",SUMIFS(Contributions!E:E,Contributions!B:B,$A156))</f>
        <v/>
      </c>
      <c r="E156">
        <f>IF($A156="","",XLOOKUP($A156,Returns!A:A,Returns!E:E))</f>
        <v/>
      </c>
      <c r="F156">
        <f>IF(OR($A156="",D156=0),"",C156/D156*E156)</f>
        <v/>
      </c>
      <c r="G156">
        <f>IF($A156="","",C156+F156)</f>
        <v/>
      </c>
      <c r="H156">
        <f>IF($A156="","",SUMIFS(Contributions!E:E,Contributions!C:C,$B156,Contributions!F:F,"Reinvest",Contributions!G:G,$A156))</f>
        <v/>
      </c>
      <c r="I156">
        <f>IF($A156="","",G156-H156)</f>
        <v/>
      </c>
    </row>
    <row r="157">
      <c r="C157">
        <f>IF($A157="","",SUMIFS(Contributions!E:E,Contributions!B:B,$A157,Contributions!C:C,$B157))</f>
        <v/>
      </c>
      <c r="D157">
        <f>IF($A157="","",SUMIFS(Contributions!E:E,Contributions!B:B,$A157))</f>
        <v/>
      </c>
      <c r="E157">
        <f>IF($A157="","",XLOOKUP($A157,Returns!A:A,Returns!E:E))</f>
        <v/>
      </c>
      <c r="F157">
        <f>IF(OR($A157="",D157=0),"",C157/D157*E157)</f>
        <v/>
      </c>
      <c r="G157">
        <f>IF($A157="","",C157+F157)</f>
        <v/>
      </c>
      <c r="H157">
        <f>IF($A157="","",SUMIFS(Contributions!E:E,Contributions!C:C,$B157,Contributions!F:F,"Reinvest",Contributions!G:G,$A157))</f>
        <v/>
      </c>
      <c r="I157">
        <f>IF($A157="","",G157-H157)</f>
        <v/>
      </c>
    </row>
    <row r="158">
      <c r="C158">
        <f>IF($A158="","",SUMIFS(Contributions!E:E,Contributions!B:B,$A158,Contributions!C:C,$B158))</f>
        <v/>
      </c>
      <c r="D158">
        <f>IF($A158="","",SUMIFS(Contributions!E:E,Contributions!B:B,$A158))</f>
        <v/>
      </c>
      <c r="E158">
        <f>IF($A158="","",XLOOKUP($A158,Returns!A:A,Returns!E:E))</f>
        <v/>
      </c>
      <c r="F158">
        <f>IF(OR($A158="",D158=0),"",C158/D158*E158)</f>
        <v/>
      </c>
      <c r="G158">
        <f>IF($A158="","",C158+F158)</f>
        <v/>
      </c>
      <c r="H158">
        <f>IF($A158="","",SUMIFS(Contributions!E:E,Contributions!C:C,$B158,Contributions!F:F,"Reinvest",Contributions!G:G,$A158))</f>
        <v/>
      </c>
      <c r="I158">
        <f>IF($A158="","",G158-H158)</f>
        <v/>
      </c>
    </row>
    <row r="159">
      <c r="C159">
        <f>IF($A159="","",SUMIFS(Contributions!E:E,Contributions!B:B,$A159,Contributions!C:C,$B159))</f>
        <v/>
      </c>
      <c r="D159">
        <f>IF($A159="","",SUMIFS(Contributions!E:E,Contributions!B:B,$A159))</f>
        <v/>
      </c>
      <c r="E159">
        <f>IF($A159="","",XLOOKUP($A159,Returns!A:A,Returns!E:E))</f>
        <v/>
      </c>
      <c r="F159">
        <f>IF(OR($A159="",D159=0),"",C159/D159*E159)</f>
        <v/>
      </c>
      <c r="G159">
        <f>IF($A159="","",C159+F159)</f>
        <v/>
      </c>
      <c r="H159">
        <f>IF($A159="","",SUMIFS(Contributions!E:E,Contributions!C:C,$B159,Contributions!F:F,"Reinvest",Contributions!G:G,$A159))</f>
        <v/>
      </c>
      <c r="I159">
        <f>IF($A159="","",G159-H159)</f>
        <v/>
      </c>
    </row>
    <row r="160">
      <c r="C160">
        <f>IF($A160="","",SUMIFS(Contributions!E:E,Contributions!B:B,$A160,Contributions!C:C,$B160))</f>
        <v/>
      </c>
      <c r="D160">
        <f>IF($A160="","",SUMIFS(Contributions!E:E,Contributions!B:B,$A160))</f>
        <v/>
      </c>
      <c r="E160">
        <f>IF($A160="","",XLOOKUP($A160,Returns!A:A,Returns!E:E))</f>
        <v/>
      </c>
      <c r="F160">
        <f>IF(OR($A160="",D160=0),"",C160/D160*E160)</f>
        <v/>
      </c>
      <c r="G160">
        <f>IF($A160="","",C160+F160)</f>
        <v/>
      </c>
      <c r="H160">
        <f>IF($A160="","",SUMIFS(Contributions!E:E,Contributions!C:C,$B160,Contributions!F:F,"Reinvest",Contributions!G:G,$A160))</f>
        <v/>
      </c>
      <c r="I160">
        <f>IF($A160="","",G160-H160)</f>
        <v/>
      </c>
    </row>
    <row r="161">
      <c r="C161">
        <f>IF($A161="","",SUMIFS(Contributions!E:E,Contributions!B:B,$A161,Contributions!C:C,$B161))</f>
        <v/>
      </c>
      <c r="D161">
        <f>IF($A161="","",SUMIFS(Contributions!E:E,Contributions!B:B,$A161))</f>
        <v/>
      </c>
      <c r="E161">
        <f>IF($A161="","",XLOOKUP($A161,Returns!A:A,Returns!E:E))</f>
        <v/>
      </c>
      <c r="F161">
        <f>IF(OR($A161="",D161=0),"",C161/D161*E161)</f>
        <v/>
      </c>
      <c r="G161">
        <f>IF($A161="","",C161+F161)</f>
        <v/>
      </c>
      <c r="H161">
        <f>IF($A161="","",SUMIFS(Contributions!E:E,Contributions!C:C,$B161,Contributions!F:F,"Reinvest",Contributions!G:G,$A161))</f>
        <v/>
      </c>
      <c r="I161">
        <f>IF($A161="","",G161-H161)</f>
        <v/>
      </c>
    </row>
    <row r="162">
      <c r="C162">
        <f>IF($A162="","",SUMIFS(Contributions!E:E,Contributions!B:B,$A162,Contributions!C:C,$B162))</f>
        <v/>
      </c>
      <c r="D162">
        <f>IF($A162="","",SUMIFS(Contributions!E:E,Contributions!B:B,$A162))</f>
        <v/>
      </c>
      <c r="E162">
        <f>IF($A162="","",XLOOKUP($A162,Returns!A:A,Returns!E:E))</f>
        <v/>
      </c>
      <c r="F162">
        <f>IF(OR($A162="",D162=0),"",C162/D162*E162)</f>
        <v/>
      </c>
      <c r="G162">
        <f>IF($A162="","",C162+F162)</f>
        <v/>
      </c>
      <c r="H162">
        <f>IF($A162="","",SUMIFS(Contributions!E:E,Contributions!C:C,$B162,Contributions!F:F,"Reinvest",Contributions!G:G,$A162))</f>
        <v/>
      </c>
      <c r="I162">
        <f>IF($A162="","",G162-H162)</f>
        <v/>
      </c>
    </row>
    <row r="163">
      <c r="C163">
        <f>IF($A163="","",SUMIFS(Contributions!E:E,Contributions!B:B,$A163,Contributions!C:C,$B163))</f>
        <v/>
      </c>
      <c r="D163">
        <f>IF($A163="","",SUMIFS(Contributions!E:E,Contributions!B:B,$A163))</f>
        <v/>
      </c>
      <c r="E163">
        <f>IF($A163="","",XLOOKUP($A163,Returns!A:A,Returns!E:E))</f>
        <v/>
      </c>
      <c r="F163">
        <f>IF(OR($A163="",D163=0),"",C163/D163*E163)</f>
        <v/>
      </c>
      <c r="G163">
        <f>IF($A163="","",C163+F163)</f>
        <v/>
      </c>
      <c r="H163">
        <f>IF($A163="","",SUMIFS(Contributions!E:E,Contributions!C:C,$B163,Contributions!F:F,"Reinvest",Contributions!G:G,$A163))</f>
        <v/>
      </c>
      <c r="I163">
        <f>IF($A163="","",G163-H163)</f>
        <v/>
      </c>
    </row>
    <row r="164">
      <c r="C164">
        <f>IF($A164="","",SUMIFS(Contributions!E:E,Contributions!B:B,$A164,Contributions!C:C,$B164))</f>
        <v/>
      </c>
      <c r="D164">
        <f>IF($A164="","",SUMIFS(Contributions!E:E,Contributions!B:B,$A164))</f>
        <v/>
      </c>
      <c r="E164">
        <f>IF($A164="","",XLOOKUP($A164,Returns!A:A,Returns!E:E))</f>
        <v/>
      </c>
      <c r="F164">
        <f>IF(OR($A164="",D164=0),"",C164/D164*E164)</f>
        <v/>
      </c>
      <c r="G164">
        <f>IF($A164="","",C164+F164)</f>
        <v/>
      </c>
      <c r="H164">
        <f>IF($A164="","",SUMIFS(Contributions!E:E,Contributions!C:C,$B164,Contributions!F:F,"Reinvest",Contributions!G:G,$A164))</f>
        <v/>
      </c>
      <c r="I164">
        <f>IF($A164="","",G164-H164)</f>
        <v/>
      </c>
    </row>
    <row r="165">
      <c r="C165">
        <f>IF($A165="","",SUMIFS(Contributions!E:E,Contributions!B:B,$A165,Contributions!C:C,$B165))</f>
        <v/>
      </c>
      <c r="D165">
        <f>IF($A165="","",SUMIFS(Contributions!E:E,Contributions!B:B,$A165))</f>
        <v/>
      </c>
      <c r="E165">
        <f>IF($A165="","",XLOOKUP($A165,Returns!A:A,Returns!E:E))</f>
        <v/>
      </c>
      <c r="F165">
        <f>IF(OR($A165="",D165=0),"",C165/D165*E165)</f>
        <v/>
      </c>
      <c r="G165">
        <f>IF($A165="","",C165+F165)</f>
        <v/>
      </c>
      <c r="H165">
        <f>IF($A165="","",SUMIFS(Contributions!E:E,Contributions!C:C,$B165,Contributions!F:F,"Reinvest",Contributions!G:G,$A165))</f>
        <v/>
      </c>
      <c r="I165">
        <f>IF($A165="","",G165-H165)</f>
        <v/>
      </c>
    </row>
    <row r="166">
      <c r="C166">
        <f>IF($A166="","",SUMIFS(Contributions!E:E,Contributions!B:B,$A166,Contributions!C:C,$B166))</f>
        <v/>
      </c>
      <c r="D166">
        <f>IF($A166="","",SUMIFS(Contributions!E:E,Contributions!B:B,$A166))</f>
        <v/>
      </c>
      <c r="E166">
        <f>IF($A166="","",XLOOKUP($A166,Returns!A:A,Returns!E:E))</f>
        <v/>
      </c>
      <c r="F166">
        <f>IF(OR($A166="",D166=0),"",C166/D166*E166)</f>
        <v/>
      </c>
      <c r="G166">
        <f>IF($A166="","",C166+F166)</f>
        <v/>
      </c>
      <c r="H166">
        <f>IF($A166="","",SUMIFS(Contributions!E:E,Contributions!C:C,$B166,Contributions!F:F,"Reinvest",Contributions!G:G,$A166))</f>
        <v/>
      </c>
      <c r="I166">
        <f>IF($A166="","",G166-H166)</f>
        <v/>
      </c>
    </row>
    <row r="167">
      <c r="C167">
        <f>IF($A167="","",SUMIFS(Contributions!E:E,Contributions!B:B,$A167,Contributions!C:C,$B167))</f>
        <v/>
      </c>
      <c r="D167">
        <f>IF($A167="","",SUMIFS(Contributions!E:E,Contributions!B:B,$A167))</f>
        <v/>
      </c>
      <c r="E167">
        <f>IF($A167="","",XLOOKUP($A167,Returns!A:A,Returns!E:E))</f>
        <v/>
      </c>
      <c r="F167">
        <f>IF(OR($A167="",D167=0),"",C167/D167*E167)</f>
        <v/>
      </c>
      <c r="G167">
        <f>IF($A167="","",C167+F167)</f>
        <v/>
      </c>
      <c r="H167">
        <f>IF($A167="","",SUMIFS(Contributions!E:E,Contributions!C:C,$B167,Contributions!F:F,"Reinvest",Contributions!G:G,$A167))</f>
        <v/>
      </c>
      <c r="I167">
        <f>IF($A167="","",G167-H167)</f>
        <v/>
      </c>
    </row>
    <row r="168">
      <c r="C168">
        <f>IF($A168="","",SUMIFS(Contributions!E:E,Contributions!B:B,$A168,Contributions!C:C,$B168))</f>
        <v/>
      </c>
      <c r="D168">
        <f>IF($A168="","",SUMIFS(Contributions!E:E,Contributions!B:B,$A168))</f>
        <v/>
      </c>
      <c r="E168">
        <f>IF($A168="","",XLOOKUP($A168,Returns!A:A,Returns!E:E))</f>
        <v/>
      </c>
      <c r="F168">
        <f>IF(OR($A168="",D168=0),"",C168/D168*E168)</f>
        <v/>
      </c>
      <c r="G168">
        <f>IF($A168="","",C168+F168)</f>
        <v/>
      </c>
      <c r="H168">
        <f>IF($A168="","",SUMIFS(Contributions!E:E,Contributions!C:C,$B168,Contributions!F:F,"Reinvest",Contributions!G:G,$A168))</f>
        <v/>
      </c>
      <c r="I168">
        <f>IF($A168="","",G168-H168)</f>
        <v/>
      </c>
    </row>
    <row r="169">
      <c r="C169">
        <f>IF($A169="","",SUMIFS(Contributions!E:E,Contributions!B:B,$A169,Contributions!C:C,$B169))</f>
        <v/>
      </c>
      <c r="D169">
        <f>IF($A169="","",SUMIFS(Contributions!E:E,Contributions!B:B,$A169))</f>
        <v/>
      </c>
      <c r="E169">
        <f>IF($A169="","",XLOOKUP($A169,Returns!A:A,Returns!E:E))</f>
        <v/>
      </c>
      <c r="F169">
        <f>IF(OR($A169="",D169=0),"",C169/D169*E169)</f>
        <v/>
      </c>
      <c r="G169">
        <f>IF($A169="","",C169+F169)</f>
        <v/>
      </c>
      <c r="H169">
        <f>IF($A169="","",SUMIFS(Contributions!E:E,Contributions!C:C,$B169,Contributions!F:F,"Reinvest",Contributions!G:G,$A169))</f>
        <v/>
      </c>
      <c r="I169">
        <f>IF($A169="","",G169-H169)</f>
        <v/>
      </c>
    </row>
    <row r="170">
      <c r="C170">
        <f>IF($A170="","",SUMIFS(Contributions!E:E,Contributions!B:B,$A170,Contributions!C:C,$B170))</f>
        <v/>
      </c>
      <c r="D170">
        <f>IF($A170="","",SUMIFS(Contributions!E:E,Contributions!B:B,$A170))</f>
        <v/>
      </c>
      <c r="E170">
        <f>IF($A170="","",XLOOKUP($A170,Returns!A:A,Returns!E:E))</f>
        <v/>
      </c>
      <c r="F170">
        <f>IF(OR($A170="",D170=0),"",C170/D170*E170)</f>
        <v/>
      </c>
      <c r="G170">
        <f>IF($A170="","",C170+F170)</f>
        <v/>
      </c>
      <c r="H170">
        <f>IF($A170="","",SUMIFS(Contributions!E:E,Contributions!C:C,$B170,Contributions!F:F,"Reinvest",Contributions!G:G,$A170))</f>
        <v/>
      </c>
      <c r="I170">
        <f>IF($A170="","",G170-H170)</f>
        <v/>
      </c>
    </row>
    <row r="171">
      <c r="C171">
        <f>IF($A171="","",SUMIFS(Contributions!E:E,Contributions!B:B,$A171,Contributions!C:C,$B171))</f>
        <v/>
      </c>
      <c r="D171">
        <f>IF($A171="","",SUMIFS(Contributions!E:E,Contributions!B:B,$A171))</f>
        <v/>
      </c>
      <c r="E171">
        <f>IF($A171="","",XLOOKUP($A171,Returns!A:A,Returns!E:E))</f>
        <v/>
      </c>
      <c r="F171">
        <f>IF(OR($A171="",D171=0),"",C171/D171*E171)</f>
        <v/>
      </c>
      <c r="G171">
        <f>IF($A171="","",C171+F171)</f>
        <v/>
      </c>
      <c r="H171">
        <f>IF($A171="","",SUMIFS(Contributions!E:E,Contributions!C:C,$B171,Contributions!F:F,"Reinvest",Contributions!G:G,$A171))</f>
        <v/>
      </c>
      <c r="I171">
        <f>IF($A171="","",G171-H171)</f>
        <v/>
      </c>
    </row>
    <row r="172">
      <c r="C172">
        <f>IF($A172="","",SUMIFS(Contributions!E:E,Contributions!B:B,$A172,Contributions!C:C,$B172))</f>
        <v/>
      </c>
      <c r="D172">
        <f>IF($A172="","",SUMIFS(Contributions!E:E,Contributions!B:B,$A172))</f>
        <v/>
      </c>
      <c r="E172">
        <f>IF($A172="","",XLOOKUP($A172,Returns!A:A,Returns!E:E))</f>
        <v/>
      </c>
      <c r="F172">
        <f>IF(OR($A172="",D172=0),"",C172/D172*E172)</f>
        <v/>
      </c>
      <c r="G172">
        <f>IF($A172="","",C172+F172)</f>
        <v/>
      </c>
      <c r="H172">
        <f>IF($A172="","",SUMIFS(Contributions!E:E,Contributions!C:C,$B172,Contributions!F:F,"Reinvest",Contributions!G:G,$A172))</f>
        <v/>
      </c>
      <c r="I172">
        <f>IF($A172="","",G172-H172)</f>
        <v/>
      </c>
    </row>
    <row r="173">
      <c r="C173">
        <f>IF($A173="","",SUMIFS(Contributions!E:E,Contributions!B:B,$A173,Contributions!C:C,$B173))</f>
        <v/>
      </c>
      <c r="D173">
        <f>IF($A173="","",SUMIFS(Contributions!E:E,Contributions!B:B,$A173))</f>
        <v/>
      </c>
      <c r="E173">
        <f>IF($A173="","",XLOOKUP($A173,Returns!A:A,Returns!E:E))</f>
        <v/>
      </c>
      <c r="F173">
        <f>IF(OR($A173="",D173=0),"",C173/D173*E173)</f>
        <v/>
      </c>
      <c r="G173">
        <f>IF($A173="","",C173+F173)</f>
        <v/>
      </c>
      <c r="H173">
        <f>IF($A173="","",SUMIFS(Contributions!E:E,Contributions!C:C,$B173,Contributions!F:F,"Reinvest",Contributions!G:G,$A173))</f>
        <v/>
      </c>
      <c r="I173">
        <f>IF($A173="","",G173-H173)</f>
        <v/>
      </c>
    </row>
    <row r="174">
      <c r="C174">
        <f>IF($A174="","",SUMIFS(Contributions!E:E,Contributions!B:B,$A174,Contributions!C:C,$B174))</f>
        <v/>
      </c>
      <c r="D174">
        <f>IF($A174="","",SUMIFS(Contributions!E:E,Contributions!B:B,$A174))</f>
        <v/>
      </c>
      <c r="E174">
        <f>IF($A174="","",XLOOKUP($A174,Returns!A:A,Returns!E:E))</f>
        <v/>
      </c>
      <c r="F174">
        <f>IF(OR($A174="",D174=0),"",C174/D174*E174)</f>
        <v/>
      </c>
      <c r="G174">
        <f>IF($A174="","",C174+F174)</f>
        <v/>
      </c>
      <c r="H174">
        <f>IF($A174="","",SUMIFS(Contributions!E:E,Contributions!C:C,$B174,Contributions!F:F,"Reinvest",Contributions!G:G,$A174))</f>
        <v/>
      </c>
      <c r="I174">
        <f>IF($A174="","",G174-H174)</f>
        <v/>
      </c>
    </row>
    <row r="175">
      <c r="C175">
        <f>IF($A175="","",SUMIFS(Contributions!E:E,Contributions!B:B,$A175,Contributions!C:C,$B175))</f>
        <v/>
      </c>
      <c r="D175">
        <f>IF($A175="","",SUMIFS(Contributions!E:E,Contributions!B:B,$A175))</f>
        <v/>
      </c>
      <c r="E175">
        <f>IF($A175="","",XLOOKUP($A175,Returns!A:A,Returns!E:E))</f>
        <v/>
      </c>
      <c r="F175">
        <f>IF(OR($A175="",D175=0),"",C175/D175*E175)</f>
        <v/>
      </c>
      <c r="G175">
        <f>IF($A175="","",C175+F175)</f>
        <v/>
      </c>
      <c r="H175">
        <f>IF($A175="","",SUMIFS(Contributions!E:E,Contributions!C:C,$B175,Contributions!F:F,"Reinvest",Contributions!G:G,$A175))</f>
        <v/>
      </c>
      <c r="I175">
        <f>IF($A175="","",G175-H175)</f>
        <v/>
      </c>
    </row>
    <row r="176">
      <c r="C176">
        <f>IF($A176="","",SUMIFS(Contributions!E:E,Contributions!B:B,$A176,Contributions!C:C,$B176))</f>
        <v/>
      </c>
      <c r="D176">
        <f>IF($A176="","",SUMIFS(Contributions!E:E,Contributions!B:B,$A176))</f>
        <v/>
      </c>
      <c r="E176">
        <f>IF($A176="","",XLOOKUP($A176,Returns!A:A,Returns!E:E))</f>
        <v/>
      </c>
      <c r="F176">
        <f>IF(OR($A176="",D176=0),"",C176/D176*E176)</f>
        <v/>
      </c>
      <c r="G176">
        <f>IF($A176="","",C176+F176)</f>
        <v/>
      </c>
      <c r="H176">
        <f>IF($A176="","",SUMIFS(Contributions!E:E,Contributions!C:C,$B176,Contributions!F:F,"Reinvest",Contributions!G:G,$A176))</f>
        <v/>
      </c>
      <c r="I176">
        <f>IF($A176="","",G176-H176)</f>
        <v/>
      </c>
    </row>
    <row r="177">
      <c r="C177">
        <f>IF($A177="","",SUMIFS(Contributions!E:E,Contributions!B:B,$A177,Contributions!C:C,$B177))</f>
        <v/>
      </c>
      <c r="D177">
        <f>IF($A177="","",SUMIFS(Contributions!E:E,Contributions!B:B,$A177))</f>
        <v/>
      </c>
      <c r="E177">
        <f>IF($A177="","",XLOOKUP($A177,Returns!A:A,Returns!E:E))</f>
        <v/>
      </c>
      <c r="F177">
        <f>IF(OR($A177="",D177=0),"",C177/D177*E177)</f>
        <v/>
      </c>
      <c r="G177">
        <f>IF($A177="","",C177+F177)</f>
        <v/>
      </c>
      <c r="H177">
        <f>IF($A177="","",SUMIFS(Contributions!E:E,Contributions!C:C,$B177,Contributions!F:F,"Reinvest",Contributions!G:G,$A177))</f>
        <v/>
      </c>
      <c r="I177">
        <f>IF($A177="","",G177-H177)</f>
        <v/>
      </c>
    </row>
    <row r="178">
      <c r="C178">
        <f>IF($A178="","",SUMIFS(Contributions!E:E,Contributions!B:B,$A178,Contributions!C:C,$B178))</f>
        <v/>
      </c>
      <c r="D178">
        <f>IF($A178="","",SUMIFS(Contributions!E:E,Contributions!B:B,$A178))</f>
        <v/>
      </c>
      <c r="E178">
        <f>IF($A178="","",XLOOKUP($A178,Returns!A:A,Returns!E:E))</f>
        <v/>
      </c>
      <c r="F178">
        <f>IF(OR($A178="",D178=0),"",C178/D178*E178)</f>
        <v/>
      </c>
      <c r="G178">
        <f>IF($A178="","",C178+F178)</f>
        <v/>
      </c>
      <c r="H178">
        <f>IF($A178="","",SUMIFS(Contributions!E:E,Contributions!C:C,$B178,Contributions!F:F,"Reinvest",Contributions!G:G,$A178))</f>
        <v/>
      </c>
      <c r="I178">
        <f>IF($A178="","",G178-H178)</f>
        <v/>
      </c>
    </row>
    <row r="179">
      <c r="C179">
        <f>IF($A179="","",SUMIFS(Contributions!E:E,Contributions!B:B,$A179,Contributions!C:C,$B179))</f>
        <v/>
      </c>
      <c r="D179">
        <f>IF($A179="","",SUMIFS(Contributions!E:E,Contributions!B:B,$A179))</f>
        <v/>
      </c>
      <c r="E179">
        <f>IF($A179="","",XLOOKUP($A179,Returns!A:A,Returns!E:E))</f>
        <v/>
      </c>
      <c r="F179">
        <f>IF(OR($A179="",D179=0),"",C179/D179*E179)</f>
        <v/>
      </c>
      <c r="G179">
        <f>IF($A179="","",C179+F179)</f>
        <v/>
      </c>
      <c r="H179">
        <f>IF($A179="","",SUMIFS(Contributions!E:E,Contributions!C:C,$B179,Contributions!F:F,"Reinvest",Contributions!G:G,$A179))</f>
        <v/>
      </c>
      <c r="I179">
        <f>IF($A179="","",G179-H179)</f>
        <v/>
      </c>
    </row>
    <row r="180">
      <c r="C180">
        <f>IF($A180="","",SUMIFS(Contributions!E:E,Contributions!B:B,$A180,Contributions!C:C,$B180))</f>
        <v/>
      </c>
      <c r="D180">
        <f>IF($A180="","",SUMIFS(Contributions!E:E,Contributions!B:B,$A180))</f>
        <v/>
      </c>
      <c r="E180">
        <f>IF($A180="","",XLOOKUP($A180,Returns!A:A,Returns!E:E))</f>
        <v/>
      </c>
      <c r="F180">
        <f>IF(OR($A180="",D180=0),"",C180/D180*E180)</f>
        <v/>
      </c>
      <c r="G180">
        <f>IF($A180="","",C180+F180)</f>
        <v/>
      </c>
      <c r="H180">
        <f>IF($A180="","",SUMIFS(Contributions!E:E,Contributions!C:C,$B180,Contributions!F:F,"Reinvest",Contributions!G:G,$A180))</f>
        <v/>
      </c>
      <c r="I180">
        <f>IF($A180="","",G180-H180)</f>
        <v/>
      </c>
    </row>
    <row r="181">
      <c r="C181">
        <f>IF($A181="","",SUMIFS(Contributions!E:E,Contributions!B:B,$A181,Contributions!C:C,$B181))</f>
        <v/>
      </c>
      <c r="D181">
        <f>IF($A181="","",SUMIFS(Contributions!E:E,Contributions!B:B,$A181))</f>
        <v/>
      </c>
      <c r="E181">
        <f>IF($A181="","",XLOOKUP($A181,Returns!A:A,Returns!E:E))</f>
        <v/>
      </c>
      <c r="F181">
        <f>IF(OR($A181="",D181=0),"",C181/D181*E181)</f>
        <v/>
      </c>
      <c r="G181">
        <f>IF($A181="","",C181+F181)</f>
        <v/>
      </c>
      <c r="H181">
        <f>IF($A181="","",SUMIFS(Contributions!E:E,Contributions!C:C,$B181,Contributions!F:F,"Reinvest",Contributions!G:G,$A181))</f>
        <v/>
      </c>
      <c r="I181">
        <f>IF($A181="","",G181-H181)</f>
        <v/>
      </c>
    </row>
    <row r="182">
      <c r="C182">
        <f>IF($A182="","",SUMIFS(Contributions!E:E,Contributions!B:B,$A182,Contributions!C:C,$B182))</f>
        <v/>
      </c>
      <c r="D182">
        <f>IF($A182="","",SUMIFS(Contributions!E:E,Contributions!B:B,$A182))</f>
        <v/>
      </c>
      <c r="E182">
        <f>IF($A182="","",XLOOKUP($A182,Returns!A:A,Returns!E:E))</f>
        <v/>
      </c>
      <c r="F182">
        <f>IF(OR($A182="",D182=0),"",C182/D182*E182)</f>
        <v/>
      </c>
      <c r="G182">
        <f>IF($A182="","",C182+F182)</f>
        <v/>
      </c>
      <c r="H182">
        <f>IF($A182="","",SUMIFS(Contributions!E:E,Contributions!C:C,$B182,Contributions!F:F,"Reinvest",Contributions!G:G,$A182))</f>
        <v/>
      </c>
      <c r="I182">
        <f>IF($A182="","",G182-H182)</f>
        <v/>
      </c>
    </row>
    <row r="183">
      <c r="C183">
        <f>IF($A183="","",SUMIFS(Contributions!E:E,Contributions!B:B,$A183,Contributions!C:C,$B183))</f>
        <v/>
      </c>
      <c r="D183">
        <f>IF($A183="","",SUMIFS(Contributions!E:E,Contributions!B:B,$A183))</f>
        <v/>
      </c>
      <c r="E183">
        <f>IF($A183="","",XLOOKUP($A183,Returns!A:A,Returns!E:E))</f>
        <v/>
      </c>
      <c r="F183">
        <f>IF(OR($A183="",D183=0),"",C183/D183*E183)</f>
        <v/>
      </c>
      <c r="G183">
        <f>IF($A183="","",C183+F183)</f>
        <v/>
      </c>
      <c r="H183">
        <f>IF($A183="","",SUMIFS(Contributions!E:E,Contributions!C:C,$B183,Contributions!F:F,"Reinvest",Contributions!G:G,$A183))</f>
        <v/>
      </c>
      <c r="I183">
        <f>IF($A183="","",G183-H183)</f>
        <v/>
      </c>
    </row>
    <row r="184">
      <c r="C184">
        <f>IF($A184="","",SUMIFS(Contributions!E:E,Contributions!B:B,$A184,Contributions!C:C,$B184))</f>
        <v/>
      </c>
      <c r="D184">
        <f>IF($A184="","",SUMIFS(Contributions!E:E,Contributions!B:B,$A184))</f>
        <v/>
      </c>
      <c r="E184">
        <f>IF($A184="","",XLOOKUP($A184,Returns!A:A,Returns!E:E))</f>
        <v/>
      </c>
      <c r="F184">
        <f>IF(OR($A184="",D184=0),"",C184/D184*E184)</f>
        <v/>
      </c>
      <c r="G184">
        <f>IF($A184="","",C184+F184)</f>
        <v/>
      </c>
      <c r="H184">
        <f>IF($A184="","",SUMIFS(Contributions!E:E,Contributions!C:C,$B184,Contributions!F:F,"Reinvest",Contributions!G:G,$A184))</f>
        <v/>
      </c>
      <c r="I184">
        <f>IF($A184="","",G184-H184)</f>
        <v/>
      </c>
    </row>
    <row r="185">
      <c r="C185">
        <f>IF($A185="","",SUMIFS(Contributions!E:E,Contributions!B:B,$A185,Contributions!C:C,$B185))</f>
        <v/>
      </c>
      <c r="D185">
        <f>IF($A185="","",SUMIFS(Contributions!E:E,Contributions!B:B,$A185))</f>
        <v/>
      </c>
      <c r="E185">
        <f>IF($A185="","",XLOOKUP($A185,Returns!A:A,Returns!E:E))</f>
        <v/>
      </c>
      <c r="F185">
        <f>IF(OR($A185="",D185=0),"",C185/D185*E185)</f>
        <v/>
      </c>
      <c r="G185">
        <f>IF($A185="","",C185+F185)</f>
        <v/>
      </c>
      <c r="H185">
        <f>IF($A185="","",SUMIFS(Contributions!E:E,Contributions!C:C,$B185,Contributions!F:F,"Reinvest",Contributions!G:G,$A185))</f>
        <v/>
      </c>
      <c r="I185">
        <f>IF($A185="","",G185-H185)</f>
        <v/>
      </c>
    </row>
    <row r="186">
      <c r="C186">
        <f>IF($A186="","",SUMIFS(Contributions!E:E,Contributions!B:B,$A186,Contributions!C:C,$B186))</f>
        <v/>
      </c>
      <c r="D186">
        <f>IF($A186="","",SUMIFS(Contributions!E:E,Contributions!B:B,$A186))</f>
        <v/>
      </c>
      <c r="E186">
        <f>IF($A186="","",XLOOKUP($A186,Returns!A:A,Returns!E:E))</f>
        <v/>
      </c>
      <c r="F186">
        <f>IF(OR($A186="",D186=0),"",C186/D186*E186)</f>
        <v/>
      </c>
      <c r="G186">
        <f>IF($A186="","",C186+F186)</f>
        <v/>
      </c>
      <c r="H186">
        <f>IF($A186="","",SUMIFS(Contributions!E:E,Contributions!C:C,$B186,Contributions!F:F,"Reinvest",Contributions!G:G,$A186))</f>
        <v/>
      </c>
      <c r="I186">
        <f>IF($A186="","",G186-H186)</f>
        <v/>
      </c>
    </row>
    <row r="187">
      <c r="C187">
        <f>IF($A187="","",SUMIFS(Contributions!E:E,Contributions!B:B,$A187,Contributions!C:C,$B187))</f>
        <v/>
      </c>
      <c r="D187">
        <f>IF($A187="","",SUMIFS(Contributions!E:E,Contributions!B:B,$A187))</f>
        <v/>
      </c>
      <c r="E187">
        <f>IF($A187="","",XLOOKUP($A187,Returns!A:A,Returns!E:E))</f>
        <v/>
      </c>
      <c r="F187">
        <f>IF(OR($A187="",D187=0),"",C187/D187*E187)</f>
        <v/>
      </c>
      <c r="G187">
        <f>IF($A187="","",C187+F187)</f>
        <v/>
      </c>
      <c r="H187">
        <f>IF($A187="","",SUMIFS(Contributions!E:E,Contributions!C:C,$B187,Contributions!F:F,"Reinvest",Contributions!G:G,$A187))</f>
        <v/>
      </c>
      <c r="I187">
        <f>IF($A187="","",G187-H187)</f>
        <v/>
      </c>
    </row>
    <row r="188">
      <c r="C188">
        <f>IF($A188="","",SUMIFS(Contributions!E:E,Contributions!B:B,$A188,Contributions!C:C,$B188))</f>
        <v/>
      </c>
      <c r="D188">
        <f>IF($A188="","",SUMIFS(Contributions!E:E,Contributions!B:B,$A188))</f>
        <v/>
      </c>
      <c r="E188">
        <f>IF($A188="","",XLOOKUP($A188,Returns!A:A,Returns!E:E))</f>
        <v/>
      </c>
      <c r="F188">
        <f>IF(OR($A188="",D188=0),"",C188/D188*E188)</f>
        <v/>
      </c>
      <c r="G188">
        <f>IF($A188="","",C188+F188)</f>
        <v/>
      </c>
      <c r="H188">
        <f>IF($A188="","",SUMIFS(Contributions!E:E,Contributions!C:C,$B188,Contributions!F:F,"Reinvest",Contributions!G:G,$A188))</f>
        <v/>
      </c>
      <c r="I188">
        <f>IF($A188="","",G188-H188)</f>
        <v/>
      </c>
    </row>
    <row r="189">
      <c r="C189">
        <f>IF($A189="","",SUMIFS(Contributions!E:E,Contributions!B:B,$A189,Contributions!C:C,$B189))</f>
        <v/>
      </c>
      <c r="D189">
        <f>IF($A189="","",SUMIFS(Contributions!E:E,Contributions!B:B,$A189))</f>
        <v/>
      </c>
      <c r="E189">
        <f>IF($A189="","",XLOOKUP($A189,Returns!A:A,Returns!E:E))</f>
        <v/>
      </c>
      <c r="F189">
        <f>IF(OR($A189="",D189=0),"",C189/D189*E189)</f>
        <v/>
      </c>
      <c r="G189">
        <f>IF($A189="","",C189+F189)</f>
        <v/>
      </c>
      <c r="H189">
        <f>IF($A189="","",SUMIFS(Contributions!E:E,Contributions!C:C,$B189,Contributions!F:F,"Reinvest",Contributions!G:G,$A189))</f>
        <v/>
      </c>
      <c r="I189">
        <f>IF($A189="","",G189-H189)</f>
        <v/>
      </c>
    </row>
    <row r="190">
      <c r="C190">
        <f>IF($A190="","",SUMIFS(Contributions!E:E,Contributions!B:B,$A190,Contributions!C:C,$B190))</f>
        <v/>
      </c>
      <c r="D190">
        <f>IF($A190="","",SUMIFS(Contributions!E:E,Contributions!B:B,$A190))</f>
        <v/>
      </c>
      <c r="E190">
        <f>IF($A190="","",XLOOKUP($A190,Returns!A:A,Returns!E:E))</f>
        <v/>
      </c>
      <c r="F190">
        <f>IF(OR($A190="",D190=0),"",C190/D190*E190)</f>
        <v/>
      </c>
      <c r="G190">
        <f>IF($A190="","",C190+F190)</f>
        <v/>
      </c>
      <c r="H190">
        <f>IF($A190="","",SUMIFS(Contributions!E:E,Contributions!C:C,$B190,Contributions!F:F,"Reinvest",Contributions!G:G,$A190))</f>
        <v/>
      </c>
      <c r="I190">
        <f>IF($A190="","",G190-H190)</f>
        <v/>
      </c>
    </row>
    <row r="191">
      <c r="C191">
        <f>IF($A191="","",SUMIFS(Contributions!E:E,Contributions!B:B,$A191,Contributions!C:C,$B191))</f>
        <v/>
      </c>
      <c r="D191">
        <f>IF($A191="","",SUMIFS(Contributions!E:E,Contributions!B:B,$A191))</f>
        <v/>
      </c>
      <c r="E191">
        <f>IF($A191="","",XLOOKUP($A191,Returns!A:A,Returns!E:E))</f>
        <v/>
      </c>
      <c r="F191">
        <f>IF(OR($A191="",D191=0),"",C191/D191*E191)</f>
        <v/>
      </c>
      <c r="G191">
        <f>IF($A191="","",C191+F191)</f>
        <v/>
      </c>
      <c r="H191">
        <f>IF($A191="","",SUMIFS(Contributions!E:E,Contributions!C:C,$B191,Contributions!F:F,"Reinvest",Contributions!G:G,$A191))</f>
        <v/>
      </c>
      <c r="I191">
        <f>IF($A191="","",G191-H191)</f>
        <v/>
      </c>
    </row>
    <row r="192">
      <c r="C192">
        <f>IF($A192="","",SUMIFS(Contributions!E:E,Contributions!B:B,$A192,Contributions!C:C,$B192))</f>
        <v/>
      </c>
      <c r="D192">
        <f>IF($A192="","",SUMIFS(Contributions!E:E,Contributions!B:B,$A192))</f>
        <v/>
      </c>
      <c r="E192">
        <f>IF($A192="","",XLOOKUP($A192,Returns!A:A,Returns!E:E))</f>
        <v/>
      </c>
      <c r="F192">
        <f>IF(OR($A192="",D192=0),"",C192/D192*E192)</f>
        <v/>
      </c>
      <c r="G192">
        <f>IF($A192="","",C192+F192)</f>
        <v/>
      </c>
      <c r="H192">
        <f>IF($A192="","",SUMIFS(Contributions!E:E,Contributions!C:C,$B192,Contributions!F:F,"Reinvest",Contributions!G:G,$A192))</f>
        <v/>
      </c>
      <c r="I192">
        <f>IF($A192="","",G192-H192)</f>
        <v/>
      </c>
    </row>
    <row r="193">
      <c r="C193">
        <f>IF($A193="","",SUMIFS(Contributions!E:E,Contributions!B:B,$A193,Contributions!C:C,$B193))</f>
        <v/>
      </c>
      <c r="D193">
        <f>IF($A193="","",SUMIFS(Contributions!E:E,Contributions!B:B,$A193))</f>
        <v/>
      </c>
      <c r="E193">
        <f>IF($A193="","",XLOOKUP($A193,Returns!A:A,Returns!E:E))</f>
        <v/>
      </c>
      <c r="F193">
        <f>IF(OR($A193="",D193=0),"",C193/D193*E193)</f>
        <v/>
      </c>
      <c r="G193">
        <f>IF($A193="","",C193+F193)</f>
        <v/>
      </c>
      <c r="H193">
        <f>IF($A193="","",SUMIFS(Contributions!E:E,Contributions!C:C,$B193,Contributions!F:F,"Reinvest",Contributions!G:G,$A193))</f>
        <v/>
      </c>
      <c r="I193">
        <f>IF($A193="","",G193-H193)</f>
        <v/>
      </c>
    </row>
    <row r="194">
      <c r="C194">
        <f>IF($A194="","",SUMIFS(Contributions!E:E,Contributions!B:B,$A194,Contributions!C:C,$B194))</f>
        <v/>
      </c>
      <c r="D194">
        <f>IF($A194="","",SUMIFS(Contributions!E:E,Contributions!B:B,$A194))</f>
        <v/>
      </c>
      <c r="E194">
        <f>IF($A194="","",XLOOKUP($A194,Returns!A:A,Returns!E:E))</f>
        <v/>
      </c>
      <c r="F194">
        <f>IF(OR($A194="",D194=0),"",C194/D194*E194)</f>
        <v/>
      </c>
      <c r="G194">
        <f>IF($A194="","",C194+F194)</f>
        <v/>
      </c>
      <c r="H194">
        <f>IF($A194="","",SUMIFS(Contributions!E:E,Contributions!C:C,$B194,Contributions!F:F,"Reinvest",Contributions!G:G,$A194))</f>
        <v/>
      </c>
      <c r="I194">
        <f>IF($A194="","",G194-H194)</f>
        <v/>
      </c>
    </row>
    <row r="195">
      <c r="C195">
        <f>IF($A195="","",SUMIFS(Contributions!E:E,Contributions!B:B,$A195,Contributions!C:C,$B195))</f>
        <v/>
      </c>
      <c r="D195">
        <f>IF($A195="","",SUMIFS(Contributions!E:E,Contributions!B:B,$A195))</f>
        <v/>
      </c>
      <c r="E195">
        <f>IF($A195="","",XLOOKUP($A195,Returns!A:A,Returns!E:E))</f>
        <v/>
      </c>
      <c r="F195">
        <f>IF(OR($A195="",D195=0),"",C195/D195*E195)</f>
        <v/>
      </c>
      <c r="G195">
        <f>IF($A195="","",C195+F195)</f>
        <v/>
      </c>
      <c r="H195">
        <f>IF($A195="","",SUMIFS(Contributions!E:E,Contributions!C:C,$B195,Contributions!F:F,"Reinvest",Contributions!G:G,$A195))</f>
        <v/>
      </c>
      <c r="I195">
        <f>IF($A195="","",G195-H195)</f>
        <v/>
      </c>
    </row>
    <row r="196">
      <c r="C196">
        <f>IF($A196="","",SUMIFS(Contributions!E:E,Contributions!B:B,$A196,Contributions!C:C,$B196))</f>
        <v/>
      </c>
      <c r="D196">
        <f>IF($A196="","",SUMIFS(Contributions!E:E,Contributions!B:B,$A196))</f>
        <v/>
      </c>
      <c r="E196">
        <f>IF($A196="","",XLOOKUP($A196,Returns!A:A,Returns!E:E))</f>
        <v/>
      </c>
      <c r="F196">
        <f>IF(OR($A196="",D196=0),"",C196/D196*E196)</f>
        <v/>
      </c>
      <c r="G196">
        <f>IF($A196="","",C196+F196)</f>
        <v/>
      </c>
      <c r="H196">
        <f>IF($A196="","",SUMIFS(Contributions!E:E,Contributions!C:C,$B196,Contributions!F:F,"Reinvest",Contributions!G:G,$A196))</f>
        <v/>
      </c>
      <c r="I196">
        <f>IF($A196="","",G196-H196)</f>
        <v/>
      </c>
    </row>
    <row r="197">
      <c r="C197">
        <f>IF($A197="","",SUMIFS(Contributions!E:E,Contributions!B:B,$A197,Contributions!C:C,$B197))</f>
        <v/>
      </c>
      <c r="D197">
        <f>IF($A197="","",SUMIFS(Contributions!E:E,Contributions!B:B,$A197))</f>
        <v/>
      </c>
      <c r="E197">
        <f>IF($A197="","",XLOOKUP($A197,Returns!A:A,Returns!E:E))</f>
        <v/>
      </c>
      <c r="F197">
        <f>IF(OR($A197="",D197=0),"",C197/D197*E197)</f>
        <v/>
      </c>
      <c r="G197">
        <f>IF($A197="","",C197+F197)</f>
        <v/>
      </c>
      <c r="H197">
        <f>IF($A197="","",SUMIFS(Contributions!E:E,Contributions!C:C,$B197,Contributions!F:F,"Reinvest",Contributions!G:G,$A197))</f>
        <v/>
      </c>
      <c r="I197">
        <f>IF($A197="","",G197-H197)</f>
        <v/>
      </c>
    </row>
    <row r="198">
      <c r="C198">
        <f>IF($A198="","",SUMIFS(Contributions!E:E,Contributions!B:B,$A198,Contributions!C:C,$B198))</f>
        <v/>
      </c>
      <c r="D198">
        <f>IF($A198="","",SUMIFS(Contributions!E:E,Contributions!B:B,$A198))</f>
        <v/>
      </c>
      <c r="E198">
        <f>IF($A198="","",XLOOKUP($A198,Returns!A:A,Returns!E:E))</f>
        <v/>
      </c>
      <c r="F198">
        <f>IF(OR($A198="",D198=0),"",C198/D198*E198)</f>
        <v/>
      </c>
      <c r="G198">
        <f>IF($A198="","",C198+F198)</f>
        <v/>
      </c>
      <c r="H198">
        <f>IF($A198="","",SUMIFS(Contributions!E:E,Contributions!C:C,$B198,Contributions!F:F,"Reinvest",Contributions!G:G,$A198))</f>
        <v/>
      </c>
      <c r="I198">
        <f>IF($A198="","",G198-H198)</f>
        <v/>
      </c>
    </row>
    <row r="199">
      <c r="C199">
        <f>IF($A199="","",SUMIFS(Contributions!E:E,Contributions!B:B,$A199,Contributions!C:C,$B199))</f>
        <v/>
      </c>
      <c r="D199">
        <f>IF($A199="","",SUMIFS(Contributions!E:E,Contributions!B:B,$A199))</f>
        <v/>
      </c>
      <c r="E199">
        <f>IF($A199="","",XLOOKUP($A199,Returns!A:A,Returns!E:E))</f>
        <v/>
      </c>
      <c r="F199">
        <f>IF(OR($A199="",D199=0),"",C199/D199*E199)</f>
        <v/>
      </c>
      <c r="G199">
        <f>IF($A199="","",C199+F199)</f>
        <v/>
      </c>
      <c r="H199">
        <f>IF($A199="","",SUMIFS(Contributions!E:E,Contributions!C:C,$B199,Contributions!F:F,"Reinvest",Contributions!G:G,$A199))</f>
        <v/>
      </c>
      <c r="I199">
        <f>IF($A199="","",G199-H199)</f>
        <v/>
      </c>
    </row>
    <row r="200">
      <c r="C200">
        <f>IF($A200="","",SUMIFS(Contributions!E:E,Contributions!B:B,$A200,Contributions!C:C,$B200))</f>
        <v/>
      </c>
      <c r="D200">
        <f>IF($A200="","",SUMIFS(Contributions!E:E,Contributions!B:B,$A200))</f>
        <v/>
      </c>
      <c r="E200">
        <f>IF($A200="","",XLOOKUP($A200,Returns!A:A,Returns!E:E))</f>
        <v/>
      </c>
      <c r="F200">
        <f>IF(OR($A200="",D200=0),"",C200/D200*E200)</f>
        <v/>
      </c>
      <c r="G200">
        <f>IF($A200="","",C200+F200)</f>
        <v/>
      </c>
      <c r="H200">
        <f>IF($A200="","",SUMIFS(Contributions!E:E,Contributions!C:C,$B200,Contributions!F:F,"Reinvest",Contributions!G:G,$A200))</f>
        <v/>
      </c>
      <c r="I200">
        <f>IF($A200="","",G200-H200)</f>
        <v/>
      </c>
    </row>
    <row r="201">
      <c r="C201">
        <f>IF($A201="","",SUMIFS(Contributions!E:E,Contributions!B:B,$A201,Contributions!C:C,$B201))</f>
        <v/>
      </c>
      <c r="D201">
        <f>IF($A201="","",SUMIFS(Contributions!E:E,Contributions!B:B,$A201))</f>
        <v/>
      </c>
      <c r="E201">
        <f>IF($A201="","",XLOOKUP($A201,Returns!A:A,Returns!E:E))</f>
        <v/>
      </c>
      <c r="F201">
        <f>IF(OR($A201="",D201=0),"",C201/D201*E201)</f>
        <v/>
      </c>
      <c r="G201">
        <f>IF($A201="","",C201+F201)</f>
        <v/>
      </c>
      <c r="H201">
        <f>IF($A201="","",SUMIFS(Contributions!E:E,Contributions!C:C,$B201,Contributions!F:F,"Reinvest",Contributions!G:G,$A201))</f>
        <v/>
      </c>
      <c r="I201">
        <f>IF($A201="","",G201-H201)</f>
        <v/>
      </c>
    </row>
    <row r="202">
      <c r="C202">
        <f>IF($A202="","",SUMIFS(Contributions!E:E,Contributions!B:B,$A202,Contributions!C:C,$B202))</f>
        <v/>
      </c>
      <c r="D202">
        <f>IF($A202="","",SUMIFS(Contributions!E:E,Contributions!B:B,$A202))</f>
        <v/>
      </c>
      <c r="E202">
        <f>IF($A202="","",XLOOKUP($A202,Returns!A:A,Returns!E:E))</f>
        <v/>
      </c>
      <c r="F202">
        <f>IF(OR($A202="",D202=0),"",C202/D202*E202)</f>
        <v/>
      </c>
      <c r="G202">
        <f>IF($A202="","",C202+F202)</f>
        <v/>
      </c>
      <c r="H202">
        <f>IF($A202="","",SUMIFS(Contributions!E:E,Contributions!C:C,$B202,Contributions!F:F,"Reinvest",Contributions!G:G,$A202))</f>
        <v/>
      </c>
      <c r="I202">
        <f>IF($A202="","",G202-H202)</f>
        <v/>
      </c>
    </row>
    <row r="203">
      <c r="C203">
        <f>IF($A203="","",SUMIFS(Contributions!E:E,Contributions!B:B,$A203,Contributions!C:C,$B203))</f>
        <v/>
      </c>
      <c r="D203">
        <f>IF($A203="","",SUMIFS(Contributions!E:E,Contributions!B:B,$A203))</f>
        <v/>
      </c>
      <c r="E203">
        <f>IF($A203="","",XLOOKUP($A203,Returns!A:A,Returns!E:E))</f>
        <v/>
      </c>
      <c r="F203">
        <f>IF(OR($A203="",D203=0),"",C203/D203*E203)</f>
        <v/>
      </c>
      <c r="G203">
        <f>IF($A203="","",C203+F203)</f>
        <v/>
      </c>
      <c r="H203">
        <f>IF($A203="","",SUMIFS(Contributions!E:E,Contributions!C:C,$B203,Contributions!F:F,"Reinvest",Contributions!G:G,$A203))</f>
        <v/>
      </c>
      <c r="I203">
        <f>IF($A203="","",G203-H203)</f>
        <v/>
      </c>
    </row>
    <row r="204">
      <c r="C204">
        <f>IF($A204="","",SUMIFS(Contributions!E:E,Contributions!B:B,$A204,Contributions!C:C,$B204))</f>
        <v/>
      </c>
      <c r="D204">
        <f>IF($A204="","",SUMIFS(Contributions!E:E,Contributions!B:B,$A204))</f>
        <v/>
      </c>
      <c r="E204">
        <f>IF($A204="","",XLOOKUP($A204,Returns!A:A,Returns!E:E))</f>
        <v/>
      </c>
      <c r="F204">
        <f>IF(OR($A204="",D204=0),"",C204/D204*E204)</f>
        <v/>
      </c>
      <c r="G204">
        <f>IF($A204="","",C204+F204)</f>
        <v/>
      </c>
      <c r="H204">
        <f>IF($A204="","",SUMIFS(Contributions!E:E,Contributions!C:C,$B204,Contributions!F:F,"Reinvest",Contributions!G:G,$A204))</f>
        <v/>
      </c>
      <c r="I204">
        <f>IF($A204="","",G204-H204)</f>
        <v/>
      </c>
    </row>
    <row r="205">
      <c r="C205">
        <f>IF($A205="","",SUMIFS(Contributions!E:E,Contributions!B:B,$A205,Contributions!C:C,$B205))</f>
        <v/>
      </c>
      <c r="D205">
        <f>IF($A205="","",SUMIFS(Contributions!E:E,Contributions!B:B,$A205))</f>
        <v/>
      </c>
      <c r="E205">
        <f>IF($A205="","",XLOOKUP($A205,Returns!A:A,Returns!E:E))</f>
        <v/>
      </c>
      <c r="F205">
        <f>IF(OR($A205="",D205=0),"",C205/D205*E205)</f>
        <v/>
      </c>
      <c r="G205">
        <f>IF($A205="","",C205+F205)</f>
        <v/>
      </c>
      <c r="H205">
        <f>IF($A205="","",SUMIFS(Contributions!E:E,Contributions!C:C,$B205,Contributions!F:F,"Reinvest",Contributions!G:G,$A205))</f>
        <v/>
      </c>
      <c r="I205">
        <f>IF($A205="","",G205-H205)</f>
        <v/>
      </c>
    </row>
    <row r="206">
      <c r="C206">
        <f>IF($A206="","",SUMIFS(Contributions!E:E,Contributions!B:B,$A206,Contributions!C:C,$B206))</f>
        <v/>
      </c>
      <c r="D206">
        <f>IF($A206="","",SUMIFS(Contributions!E:E,Contributions!B:B,$A206))</f>
        <v/>
      </c>
      <c r="E206">
        <f>IF($A206="","",XLOOKUP($A206,Returns!A:A,Returns!E:E))</f>
        <v/>
      </c>
      <c r="F206">
        <f>IF(OR($A206="",D206=0),"",C206/D206*E206)</f>
        <v/>
      </c>
      <c r="G206">
        <f>IF($A206="","",C206+F206)</f>
        <v/>
      </c>
      <c r="H206">
        <f>IF($A206="","",SUMIFS(Contributions!E:E,Contributions!C:C,$B206,Contributions!F:F,"Reinvest",Contributions!G:G,$A206))</f>
        <v/>
      </c>
      <c r="I206">
        <f>IF($A206="","",G206-H206)</f>
        <v/>
      </c>
    </row>
    <row r="207">
      <c r="C207">
        <f>IF($A207="","",SUMIFS(Contributions!E:E,Contributions!B:B,$A207,Contributions!C:C,$B207))</f>
        <v/>
      </c>
      <c r="D207">
        <f>IF($A207="","",SUMIFS(Contributions!E:E,Contributions!B:B,$A207))</f>
        <v/>
      </c>
      <c r="E207">
        <f>IF($A207="","",XLOOKUP($A207,Returns!A:A,Returns!E:E))</f>
        <v/>
      </c>
      <c r="F207">
        <f>IF(OR($A207="",D207=0),"",C207/D207*E207)</f>
        <v/>
      </c>
      <c r="G207">
        <f>IF($A207="","",C207+F207)</f>
        <v/>
      </c>
      <c r="H207">
        <f>IF($A207="","",SUMIFS(Contributions!E:E,Contributions!C:C,$B207,Contributions!F:F,"Reinvest",Contributions!G:G,$A207))</f>
        <v/>
      </c>
      <c r="I207">
        <f>IF($A207="","",G207-H207)</f>
        <v/>
      </c>
    </row>
    <row r="208">
      <c r="C208">
        <f>IF($A208="","",SUMIFS(Contributions!E:E,Contributions!B:B,$A208,Contributions!C:C,$B208))</f>
        <v/>
      </c>
      <c r="D208">
        <f>IF($A208="","",SUMIFS(Contributions!E:E,Contributions!B:B,$A208))</f>
        <v/>
      </c>
      <c r="E208">
        <f>IF($A208="","",XLOOKUP($A208,Returns!A:A,Returns!E:E))</f>
        <v/>
      </c>
      <c r="F208">
        <f>IF(OR($A208="",D208=0),"",C208/D208*E208)</f>
        <v/>
      </c>
      <c r="G208">
        <f>IF($A208="","",C208+F208)</f>
        <v/>
      </c>
      <c r="H208">
        <f>IF($A208="","",SUMIFS(Contributions!E:E,Contributions!C:C,$B208,Contributions!F:F,"Reinvest",Contributions!G:G,$A208))</f>
        <v/>
      </c>
      <c r="I208">
        <f>IF($A208="","",G208-H208)</f>
        <v/>
      </c>
    </row>
    <row r="209">
      <c r="C209">
        <f>IF($A209="","",SUMIFS(Contributions!E:E,Contributions!B:B,$A209,Contributions!C:C,$B209))</f>
        <v/>
      </c>
      <c r="D209">
        <f>IF($A209="","",SUMIFS(Contributions!E:E,Contributions!B:B,$A209))</f>
        <v/>
      </c>
      <c r="E209">
        <f>IF($A209="","",XLOOKUP($A209,Returns!A:A,Returns!E:E))</f>
        <v/>
      </c>
      <c r="F209">
        <f>IF(OR($A209="",D209=0),"",C209/D209*E209)</f>
        <v/>
      </c>
      <c r="G209">
        <f>IF($A209="","",C209+F209)</f>
        <v/>
      </c>
      <c r="H209">
        <f>IF($A209="","",SUMIFS(Contributions!E:E,Contributions!C:C,$B209,Contributions!F:F,"Reinvest",Contributions!G:G,$A209))</f>
        <v/>
      </c>
      <c r="I209">
        <f>IF($A209="","",G209-H209)</f>
        <v/>
      </c>
    </row>
    <row r="210">
      <c r="C210">
        <f>IF($A210="","",SUMIFS(Contributions!E:E,Contributions!B:B,$A210,Contributions!C:C,$B210))</f>
        <v/>
      </c>
      <c r="D210">
        <f>IF($A210="","",SUMIFS(Contributions!E:E,Contributions!B:B,$A210))</f>
        <v/>
      </c>
      <c r="E210">
        <f>IF($A210="","",XLOOKUP($A210,Returns!A:A,Returns!E:E))</f>
        <v/>
      </c>
      <c r="F210">
        <f>IF(OR($A210="",D210=0),"",C210/D210*E210)</f>
        <v/>
      </c>
      <c r="G210">
        <f>IF($A210="","",C210+F210)</f>
        <v/>
      </c>
      <c r="H210">
        <f>IF($A210="","",SUMIFS(Contributions!E:E,Contributions!C:C,$B210,Contributions!F:F,"Reinvest",Contributions!G:G,$A210))</f>
        <v/>
      </c>
      <c r="I210">
        <f>IF($A210="","",G210-H210)</f>
        <v/>
      </c>
    </row>
    <row r="211">
      <c r="C211">
        <f>IF($A211="","",SUMIFS(Contributions!E:E,Contributions!B:B,$A211,Contributions!C:C,$B211))</f>
        <v/>
      </c>
      <c r="D211">
        <f>IF($A211="","",SUMIFS(Contributions!E:E,Contributions!B:B,$A211))</f>
        <v/>
      </c>
      <c r="E211">
        <f>IF($A211="","",XLOOKUP($A211,Returns!A:A,Returns!E:E))</f>
        <v/>
      </c>
      <c r="F211">
        <f>IF(OR($A211="",D211=0),"",C211/D211*E211)</f>
        <v/>
      </c>
      <c r="G211">
        <f>IF($A211="","",C211+F211)</f>
        <v/>
      </c>
      <c r="H211">
        <f>IF($A211="","",SUMIFS(Contributions!E:E,Contributions!C:C,$B211,Contributions!F:F,"Reinvest",Contributions!G:G,$A211))</f>
        <v/>
      </c>
      <c r="I211">
        <f>IF($A211="","",G211-H211)</f>
        <v/>
      </c>
    </row>
    <row r="212">
      <c r="C212">
        <f>IF($A212="","",SUMIFS(Contributions!E:E,Contributions!B:B,$A212,Contributions!C:C,$B212))</f>
        <v/>
      </c>
      <c r="D212">
        <f>IF($A212="","",SUMIFS(Contributions!E:E,Contributions!B:B,$A212))</f>
        <v/>
      </c>
      <c r="E212">
        <f>IF($A212="","",XLOOKUP($A212,Returns!A:A,Returns!E:E))</f>
        <v/>
      </c>
      <c r="F212">
        <f>IF(OR($A212="",D212=0),"",C212/D212*E212)</f>
        <v/>
      </c>
      <c r="G212">
        <f>IF($A212="","",C212+F212)</f>
        <v/>
      </c>
      <c r="H212">
        <f>IF($A212="","",SUMIFS(Contributions!E:E,Contributions!C:C,$B212,Contributions!F:F,"Reinvest",Contributions!G:G,$A212))</f>
        <v/>
      </c>
      <c r="I212">
        <f>IF($A212="","",G212-H212)</f>
        <v/>
      </c>
    </row>
    <row r="213">
      <c r="C213">
        <f>IF($A213="","",SUMIFS(Contributions!E:E,Contributions!B:B,$A213,Contributions!C:C,$B213))</f>
        <v/>
      </c>
      <c r="D213">
        <f>IF($A213="","",SUMIFS(Contributions!E:E,Contributions!B:B,$A213))</f>
        <v/>
      </c>
      <c r="E213">
        <f>IF($A213="","",XLOOKUP($A213,Returns!A:A,Returns!E:E))</f>
        <v/>
      </c>
      <c r="F213">
        <f>IF(OR($A213="",D213=0),"",C213/D213*E213)</f>
        <v/>
      </c>
      <c r="G213">
        <f>IF($A213="","",C213+F213)</f>
        <v/>
      </c>
      <c r="H213">
        <f>IF($A213="","",SUMIFS(Contributions!E:E,Contributions!C:C,$B213,Contributions!F:F,"Reinvest",Contributions!G:G,$A213))</f>
        <v/>
      </c>
      <c r="I213">
        <f>IF($A213="","",G213-H213)</f>
        <v/>
      </c>
    </row>
    <row r="214">
      <c r="C214">
        <f>IF($A214="","",SUMIFS(Contributions!E:E,Contributions!B:B,$A214,Contributions!C:C,$B214))</f>
        <v/>
      </c>
      <c r="D214">
        <f>IF($A214="","",SUMIFS(Contributions!E:E,Contributions!B:B,$A214))</f>
        <v/>
      </c>
      <c r="E214">
        <f>IF($A214="","",XLOOKUP($A214,Returns!A:A,Returns!E:E))</f>
        <v/>
      </c>
      <c r="F214">
        <f>IF(OR($A214="",D214=0),"",C214/D214*E214)</f>
        <v/>
      </c>
      <c r="G214">
        <f>IF($A214="","",C214+F214)</f>
        <v/>
      </c>
      <c r="H214">
        <f>IF($A214="","",SUMIFS(Contributions!E:E,Contributions!C:C,$B214,Contributions!F:F,"Reinvest",Contributions!G:G,$A214))</f>
        <v/>
      </c>
      <c r="I214">
        <f>IF($A214="","",G214-H214)</f>
        <v/>
      </c>
    </row>
    <row r="215">
      <c r="C215">
        <f>IF($A215="","",SUMIFS(Contributions!E:E,Contributions!B:B,$A215,Contributions!C:C,$B215))</f>
        <v/>
      </c>
      <c r="D215">
        <f>IF($A215="","",SUMIFS(Contributions!E:E,Contributions!B:B,$A215))</f>
        <v/>
      </c>
      <c r="E215">
        <f>IF($A215="","",XLOOKUP($A215,Returns!A:A,Returns!E:E))</f>
        <v/>
      </c>
      <c r="F215">
        <f>IF(OR($A215="",D215=0),"",C215/D215*E215)</f>
        <v/>
      </c>
      <c r="G215">
        <f>IF($A215="","",C215+F215)</f>
        <v/>
      </c>
      <c r="H215">
        <f>IF($A215="","",SUMIFS(Contributions!E:E,Contributions!C:C,$B215,Contributions!F:F,"Reinvest",Contributions!G:G,$A215))</f>
        <v/>
      </c>
      <c r="I215">
        <f>IF($A215="","",G215-H215)</f>
        <v/>
      </c>
    </row>
    <row r="216">
      <c r="C216">
        <f>IF($A216="","",SUMIFS(Contributions!E:E,Contributions!B:B,$A216,Contributions!C:C,$B216))</f>
        <v/>
      </c>
      <c r="D216">
        <f>IF($A216="","",SUMIFS(Contributions!E:E,Contributions!B:B,$A216))</f>
        <v/>
      </c>
      <c r="E216">
        <f>IF($A216="","",XLOOKUP($A216,Returns!A:A,Returns!E:E))</f>
        <v/>
      </c>
      <c r="F216">
        <f>IF(OR($A216="",D216=0),"",C216/D216*E216)</f>
        <v/>
      </c>
      <c r="G216">
        <f>IF($A216="","",C216+F216)</f>
        <v/>
      </c>
      <c r="H216">
        <f>IF($A216="","",SUMIFS(Contributions!E:E,Contributions!C:C,$B216,Contributions!F:F,"Reinvest",Contributions!G:G,$A216))</f>
        <v/>
      </c>
      <c r="I216">
        <f>IF($A216="","",G216-H216)</f>
        <v/>
      </c>
    </row>
    <row r="217">
      <c r="C217">
        <f>IF($A217="","",SUMIFS(Contributions!E:E,Contributions!B:B,$A217,Contributions!C:C,$B217))</f>
        <v/>
      </c>
      <c r="D217">
        <f>IF($A217="","",SUMIFS(Contributions!E:E,Contributions!B:B,$A217))</f>
        <v/>
      </c>
      <c r="E217">
        <f>IF($A217="","",XLOOKUP($A217,Returns!A:A,Returns!E:E))</f>
        <v/>
      </c>
      <c r="F217">
        <f>IF(OR($A217="",D217=0),"",C217/D217*E217)</f>
        <v/>
      </c>
      <c r="G217">
        <f>IF($A217="","",C217+F217)</f>
        <v/>
      </c>
      <c r="H217">
        <f>IF($A217="","",SUMIFS(Contributions!E:E,Contributions!C:C,$B217,Contributions!F:F,"Reinvest",Contributions!G:G,$A217))</f>
        <v/>
      </c>
      <c r="I217">
        <f>IF($A217="","",G217-H217)</f>
        <v/>
      </c>
    </row>
    <row r="218">
      <c r="C218">
        <f>IF($A218="","",SUMIFS(Contributions!E:E,Contributions!B:B,$A218,Contributions!C:C,$B218))</f>
        <v/>
      </c>
      <c r="D218">
        <f>IF($A218="","",SUMIFS(Contributions!E:E,Contributions!B:B,$A218))</f>
        <v/>
      </c>
      <c r="E218">
        <f>IF($A218="","",XLOOKUP($A218,Returns!A:A,Returns!E:E))</f>
        <v/>
      </c>
      <c r="F218">
        <f>IF(OR($A218="",D218=0),"",C218/D218*E218)</f>
        <v/>
      </c>
      <c r="G218">
        <f>IF($A218="","",C218+F218)</f>
        <v/>
      </c>
      <c r="H218">
        <f>IF($A218="","",SUMIFS(Contributions!E:E,Contributions!C:C,$B218,Contributions!F:F,"Reinvest",Contributions!G:G,$A218))</f>
        <v/>
      </c>
      <c r="I218">
        <f>IF($A218="","",G218-H218)</f>
        <v/>
      </c>
    </row>
    <row r="219">
      <c r="C219">
        <f>IF($A219="","",SUMIFS(Contributions!E:E,Contributions!B:B,$A219,Contributions!C:C,$B219))</f>
        <v/>
      </c>
      <c r="D219">
        <f>IF($A219="","",SUMIFS(Contributions!E:E,Contributions!B:B,$A219))</f>
        <v/>
      </c>
      <c r="E219">
        <f>IF($A219="","",XLOOKUP($A219,Returns!A:A,Returns!E:E))</f>
        <v/>
      </c>
      <c r="F219">
        <f>IF(OR($A219="",D219=0),"",C219/D219*E219)</f>
        <v/>
      </c>
      <c r="G219">
        <f>IF($A219="","",C219+F219)</f>
        <v/>
      </c>
      <c r="H219">
        <f>IF($A219="","",SUMIFS(Contributions!E:E,Contributions!C:C,$B219,Contributions!F:F,"Reinvest",Contributions!G:G,$A219))</f>
        <v/>
      </c>
      <c r="I219">
        <f>IF($A219="","",G219-H219)</f>
        <v/>
      </c>
    </row>
    <row r="220">
      <c r="C220">
        <f>IF($A220="","",SUMIFS(Contributions!E:E,Contributions!B:B,$A220,Contributions!C:C,$B220))</f>
        <v/>
      </c>
      <c r="D220">
        <f>IF($A220="","",SUMIFS(Contributions!E:E,Contributions!B:B,$A220))</f>
        <v/>
      </c>
      <c r="E220">
        <f>IF($A220="","",XLOOKUP($A220,Returns!A:A,Returns!E:E))</f>
        <v/>
      </c>
      <c r="F220">
        <f>IF(OR($A220="",D220=0),"",C220/D220*E220)</f>
        <v/>
      </c>
      <c r="G220">
        <f>IF($A220="","",C220+F220)</f>
        <v/>
      </c>
      <c r="H220">
        <f>IF($A220="","",SUMIFS(Contributions!E:E,Contributions!C:C,$B220,Contributions!F:F,"Reinvest",Contributions!G:G,$A220))</f>
        <v/>
      </c>
      <c r="I220">
        <f>IF($A220="","",G220-H220)</f>
        <v/>
      </c>
    </row>
    <row r="221">
      <c r="C221">
        <f>IF($A221="","",SUMIFS(Contributions!E:E,Contributions!B:B,$A221,Contributions!C:C,$B221))</f>
        <v/>
      </c>
      <c r="D221">
        <f>IF($A221="","",SUMIFS(Contributions!E:E,Contributions!B:B,$A221))</f>
        <v/>
      </c>
      <c r="E221">
        <f>IF($A221="","",XLOOKUP($A221,Returns!A:A,Returns!E:E))</f>
        <v/>
      </c>
      <c r="F221">
        <f>IF(OR($A221="",D221=0),"",C221/D221*E221)</f>
        <v/>
      </c>
      <c r="G221">
        <f>IF($A221="","",C221+F221)</f>
        <v/>
      </c>
      <c r="H221">
        <f>IF($A221="","",SUMIFS(Contributions!E:E,Contributions!C:C,$B221,Contributions!F:F,"Reinvest",Contributions!G:G,$A221))</f>
        <v/>
      </c>
      <c r="I221">
        <f>IF($A221="","",G221-H221)</f>
        <v/>
      </c>
    </row>
    <row r="222">
      <c r="C222">
        <f>IF($A222="","",SUMIFS(Contributions!E:E,Contributions!B:B,$A222,Contributions!C:C,$B222))</f>
        <v/>
      </c>
      <c r="D222">
        <f>IF($A222="","",SUMIFS(Contributions!E:E,Contributions!B:B,$A222))</f>
        <v/>
      </c>
      <c r="E222">
        <f>IF($A222="","",XLOOKUP($A222,Returns!A:A,Returns!E:E))</f>
        <v/>
      </c>
      <c r="F222">
        <f>IF(OR($A222="",D222=0),"",C222/D222*E222)</f>
        <v/>
      </c>
      <c r="G222">
        <f>IF($A222="","",C222+F222)</f>
        <v/>
      </c>
      <c r="H222">
        <f>IF($A222="","",SUMIFS(Contributions!E:E,Contributions!C:C,$B222,Contributions!F:F,"Reinvest",Contributions!G:G,$A222))</f>
        <v/>
      </c>
      <c r="I222">
        <f>IF($A222="","",G222-H222)</f>
        <v/>
      </c>
    </row>
    <row r="223">
      <c r="C223">
        <f>IF($A223="","",SUMIFS(Contributions!E:E,Contributions!B:B,$A223,Contributions!C:C,$B223))</f>
        <v/>
      </c>
      <c r="D223">
        <f>IF($A223="","",SUMIFS(Contributions!E:E,Contributions!B:B,$A223))</f>
        <v/>
      </c>
      <c r="E223">
        <f>IF($A223="","",XLOOKUP($A223,Returns!A:A,Returns!E:E))</f>
        <v/>
      </c>
      <c r="F223">
        <f>IF(OR($A223="",D223=0),"",C223/D223*E223)</f>
        <v/>
      </c>
      <c r="G223">
        <f>IF($A223="","",C223+F223)</f>
        <v/>
      </c>
      <c r="H223">
        <f>IF($A223="","",SUMIFS(Contributions!E:E,Contributions!C:C,$B223,Contributions!F:F,"Reinvest",Contributions!G:G,$A223))</f>
        <v/>
      </c>
      <c r="I223">
        <f>IF($A223="","",G223-H223)</f>
        <v/>
      </c>
    </row>
    <row r="224">
      <c r="C224">
        <f>IF($A224="","",SUMIFS(Contributions!E:E,Contributions!B:B,$A224,Contributions!C:C,$B224))</f>
        <v/>
      </c>
      <c r="D224">
        <f>IF($A224="","",SUMIFS(Contributions!E:E,Contributions!B:B,$A224))</f>
        <v/>
      </c>
      <c r="E224">
        <f>IF($A224="","",XLOOKUP($A224,Returns!A:A,Returns!E:E))</f>
        <v/>
      </c>
      <c r="F224">
        <f>IF(OR($A224="",D224=0),"",C224/D224*E224)</f>
        <v/>
      </c>
      <c r="G224">
        <f>IF($A224="","",C224+F224)</f>
        <v/>
      </c>
      <c r="H224">
        <f>IF($A224="","",SUMIFS(Contributions!E:E,Contributions!C:C,$B224,Contributions!F:F,"Reinvest",Contributions!G:G,$A224))</f>
        <v/>
      </c>
      <c r="I224">
        <f>IF($A224="","",G224-H224)</f>
        <v/>
      </c>
    </row>
    <row r="225">
      <c r="C225">
        <f>IF($A225="","",SUMIFS(Contributions!E:E,Contributions!B:B,$A225,Contributions!C:C,$B225))</f>
        <v/>
      </c>
      <c r="D225">
        <f>IF($A225="","",SUMIFS(Contributions!E:E,Contributions!B:B,$A225))</f>
        <v/>
      </c>
      <c r="E225">
        <f>IF($A225="","",XLOOKUP($A225,Returns!A:A,Returns!E:E))</f>
        <v/>
      </c>
      <c r="F225">
        <f>IF(OR($A225="",D225=0),"",C225/D225*E225)</f>
        <v/>
      </c>
      <c r="G225">
        <f>IF($A225="","",C225+F225)</f>
        <v/>
      </c>
      <c r="H225">
        <f>IF($A225="","",SUMIFS(Contributions!E:E,Contributions!C:C,$B225,Contributions!F:F,"Reinvest",Contributions!G:G,$A225))</f>
        <v/>
      </c>
      <c r="I225">
        <f>IF($A225="","",G225-H225)</f>
        <v/>
      </c>
    </row>
    <row r="226">
      <c r="C226">
        <f>IF($A226="","",SUMIFS(Contributions!E:E,Contributions!B:B,$A226,Contributions!C:C,$B226))</f>
        <v/>
      </c>
      <c r="D226">
        <f>IF($A226="","",SUMIFS(Contributions!E:E,Contributions!B:B,$A226))</f>
        <v/>
      </c>
      <c r="E226">
        <f>IF($A226="","",XLOOKUP($A226,Returns!A:A,Returns!E:E))</f>
        <v/>
      </c>
      <c r="F226">
        <f>IF(OR($A226="",D226=0),"",C226/D226*E226)</f>
        <v/>
      </c>
      <c r="G226">
        <f>IF($A226="","",C226+F226)</f>
        <v/>
      </c>
      <c r="H226">
        <f>IF($A226="","",SUMIFS(Contributions!E:E,Contributions!C:C,$B226,Contributions!F:F,"Reinvest",Contributions!G:G,$A226))</f>
        <v/>
      </c>
      <c r="I226">
        <f>IF($A226="","",G226-H226)</f>
        <v/>
      </c>
    </row>
    <row r="227">
      <c r="C227">
        <f>IF($A227="","",SUMIFS(Contributions!E:E,Contributions!B:B,$A227,Contributions!C:C,$B227))</f>
        <v/>
      </c>
      <c r="D227">
        <f>IF($A227="","",SUMIFS(Contributions!E:E,Contributions!B:B,$A227))</f>
        <v/>
      </c>
      <c r="E227">
        <f>IF($A227="","",XLOOKUP($A227,Returns!A:A,Returns!E:E))</f>
        <v/>
      </c>
      <c r="F227">
        <f>IF(OR($A227="",D227=0),"",C227/D227*E227)</f>
        <v/>
      </c>
      <c r="G227">
        <f>IF($A227="","",C227+F227)</f>
        <v/>
      </c>
      <c r="H227">
        <f>IF($A227="","",SUMIFS(Contributions!E:E,Contributions!C:C,$B227,Contributions!F:F,"Reinvest",Contributions!G:G,$A227))</f>
        <v/>
      </c>
      <c r="I227">
        <f>IF($A227="","",G227-H227)</f>
        <v/>
      </c>
    </row>
    <row r="228">
      <c r="C228">
        <f>IF($A228="","",SUMIFS(Contributions!E:E,Contributions!B:B,$A228,Contributions!C:C,$B228))</f>
        <v/>
      </c>
      <c r="D228">
        <f>IF($A228="","",SUMIFS(Contributions!E:E,Contributions!B:B,$A228))</f>
        <v/>
      </c>
      <c r="E228">
        <f>IF($A228="","",XLOOKUP($A228,Returns!A:A,Returns!E:E))</f>
        <v/>
      </c>
      <c r="F228">
        <f>IF(OR($A228="",D228=0),"",C228/D228*E228)</f>
        <v/>
      </c>
      <c r="G228">
        <f>IF($A228="","",C228+F228)</f>
        <v/>
      </c>
      <c r="H228">
        <f>IF($A228="","",SUMIFS(Contributions!E:E,Contributions!C:C,$B228,Contributions!F:F,"Reinvest",Contributions!G:G,$A228))</f>
        <v/>
      </c>
      <c r="I228">
        <f>IF($A228="","",G228-H228)</f>
        <v/>
      </c>
    </row>
    <row r="229">
      <c r="C229">
        <f>IF($A229="","",SUMIFS(Contributions!E:E,Contributions!B:B,$A229,Contributions!C:C,$B229))</f>
        <v/>
      </c>
      <c r="D229">
        <f>IF($A229="","",SUMIFS(Contributions!E:E,Contributions!B:B,$A229))</f>
        <v/>
      </c>
      <c r="E229">
        <f>IF($A229="","",XLOOKUP($A229,Returns!A:A,Returns!E:E))</f>
        <v/>
      </c>
      <c r="F229">
        <f>IF(OR($A229="",D229=0),"",C229/D229*E229)</f>
        <v/>
      </c>
      <c r="G229">
        <f>IF($A229="","",C229+F229)</f>
        <v/>
      </c>
      <c r="H229">
        <f>IF($A229="","",SUMIFS(Contributions!E:E,Contributions!C:C,$B229,Contributions!F:F,"Reinvest",Contributions!G:G,$A229))</f>
        <v/>
      </c>
      <c r="I229">
        <f>IF($A229="","",G229-H229)</f>
        <v/>
      </c>
    </row>
    <row r="230">
      <c r="C230">
        <f>IF($A230="","",SUMIFS(Contributions!E:E,Contributions!B:B,$A230,Contributions!C:C,$B230))</f>
        <v/>
      </c>
      <c r="D230">
        <f>IF($A230="","",SUMIFS(Contributions!E:E,Contributions!B:B,$A230))</f>
        <v/>
      </c>
      <c r="E230">
        <f>IF($A230="","",XLOOKUP($A230,Returns!A:A,Returns!E:E))</f>
        <v/>
      </c>
      <c r="F230">
        <f>IF(OR($A230="",D230=0),"",C230/D230*E230)</f>
        <v/>
      </c>
      <c r="G230">
        <f>IF($A230="","",C230+F230)</f>
        <v/>
      </c>
      <c r="H230">
        <f>IF($A230="","",SUMIFS(Contributions!E:E,Contributions!C:C,$B230,Contributions!F:F,"Reinvest",Contributions!G:G,$A230))</f>
        <v/>
      </c>
      <c r="I230">
        <f>IF($A230="","",G230-H230)</f>
        <v/>
      </c>
    </row>
    <row r="231">
      <c r="C231">
        <f>IF($A231="","",SUMIFS(Contributions!E:E,Contributions!B:B,$A231,Contributions!C:C,$B231))</f>
        <v/>
      </c>
      <c r="D231">
        <f>IF($A231="","",SUMIFS(Contributions!E:E,Contributions!B:B,$A231))</f>
        <v/>
      </c>
      <c r="E231">
        <f>IF($A231="","",XLOOKUP($A231,Returns!A:A,Returns!E:E))</f>
        <v/>
      </c>
      <c r="F231">
        <f>IF(OR($A231="",D231=0),"",C231/D231*E231)</f>
        <v/>
      </c>
      <c r="G231">
        <f>IF($A231="","",C231+F231)</f>
        <v/>
      </c>
      <c r="H231">
        <f>IF($A231="","",SUMIFS(Contributions!E:E,Contributions!C:C,$B231,Contributions!F:F,"Reinvest",Contributions!G:G,$A231))</f>
        <v/>
      </c>
      <c r="I231">
        <f>IF($A231="","",G231-H231)</f>
        <v/>
      </c>
    </row>
    <row r="232">
      <c r="C232">
        <f>IF($A232="","",SUMIFS(Contributions!E:E,Contributions!B:B,$A232,Contributions!C:C,$B232))</f>
        <v/>
      </c>
      <c r="D232">
        <f>IF($A232="","",SUMIFS(Contributions!E:E,Contributions!B:B,$A232))</f>
        <v/>
      </c>
      <c r="E232">
        <f>IF($A232="","",XLOOKUP($A232,Returns!A:A,Returns!E:E))</f>
        <v/>
      </c>
      <c r="F232">
        <f>IF(OR($A232="",D232=0),"",C232/D232*E232)</f>
        <v/>
      </c>
      <c r="G232">
        <f>IF($A232="","",C232+F232)</f>
        <v/>
      </c>
      <c r="H232">
        <f>IF($A232="","",SUMIFS(Contributions!E:E,Contributions!C:C,$B232,Contributions!F:F,"Reinvest",Contributions!G:G,$A232))</f>
        <v/>
      </c>
      <c r="I232">
        <f>IF($A232="","",G232-H232)</f>
        <v/>
      </c>
    </row>
    <row r="233">
      <c r="C233">
        <f>IF($A233="","",SUMIFS(Contributions!E:E,Contributions!B:B,$A233,Contributions!C:C,$B233))</f>
        <v/>
      </c>
      <c r="D233">
        <f>IF($A233="","",SUMIFS(Contributions!E:E,Contributions!B:B,$A233))</f>
        <v/>
      </c>
      <c r="E233">
        <f>IF($A233="","",XLOOKUP($A233,Returns!A:A,Returns!E:E))</f>
        <v/>
      </c>
      <c r="F233">
        <f>IF(OR($A233="",D233=0),"",C233/D233*E233)</f>
        <v/>
      </c>
      <c r="G233">
        <f>IF($A233="","",C233+F233)</f>
        <v/>
      </c>
      <c r="H233">
        <f>IF($A233="","",SUMIFS(Contributions!E:E,Contributions!C:C,$B233,Contributions!F:F,"Reinvest",Contributions!G:G,$A233))</f>
        <v/>
      </c>
      <c r="I233">
        <f>IF($A233="","",G233-H233)</f>
        <v/>
      </c>
    </row>
    <row r="234">
      <c r="C234">
        <f>IF($A234="","",SUMIFS(Contributions!E:E,Contributions!B:B,$A234,Contributions!C:C,$B234))</f>
        <v/>
      </c>
      <c r="D234">
        <f>IF($A234="","",SUMIFS(Contributions!E:E,Contributions!B:B,$A234))</f>
        <v/>
      </c>
      <c r="E234">
        <f>IF($A234="","",XLOOKUP($A234,Returns!A:A,Returns!E:E))</f>
        <v/>
      </c>
      <c r="F234">
        <f>IF(OR($A234="",D234=0),"",C234/D234*E234)</f>
        <v/>
      </c>
      <c r="G234">
        <f>IF($A234="","",C234+F234)</f>
        <v/>
      </c>
      <c r="H234">
        <f>IF($A234="","",SUMIFS(Contributions!E:E,Contributions!C:C,$B234,Contributions!F:F,"Reinvest",Contributions!G:G,$A234))</f>
        <v/>
      </c>
      <c r="I234">
        <f>IF($A234="","",G234-H234)</f>
        <v/>
      </c>
    </row>
    <row r="235">
      <c r="C235">
        <f>IF($A235="","",SUMIFS(Contributions!E:E,Contributions!B:B,$A235,Contributions!C:C,$B235))</f>
        <v/>
      </c>
      <c r="D235">
        <f>IF($A235="","",SUMIFS(Contributions!E:E,Contributions!B:B,$A235))</f>
        <v/>
      </c>
      <c r="E235">
        <f>IF($A235="","",XLOOKUP($A235,Returns!A:A,Returns!E:E))</f>
        <v/>
      </c>
      <c r="F235">
        <f>IF(OR($A235="",D235=0),"",C235/D235*E235)</f>
        <v/>
      </c>
      <c r="G235">
        <f>IF($A235="","",C235+F235)</f>
        <v/>
      </c>
      <c r="H235">
        <f>IF($A235="","",SUMIFS(Contributions!E:E,Contributions!C:C,$B235,Contributions!F:F,"Reinvest",Contributions!G:G,$A235))</f>
        <v/>
      </c>
      <c r="I235">
        <f>IF($A235="","",G235-H235)</f>
        <v/>
      </c>
    </row>
    <row r="236">
      <c r="C236">
        <f>IF($A236="","",SUMIFS(Contributions!E:E,Contributions!B:B,$A236,Contributions!C:C,$B236))</f>
        <v/>
      </c>
      <c r="D236">
        <f>IF($A236="","",SUMIFS(Contributions!E:E,Contributions!B:B,$A236))</f>
        <v/>
      </c>
      <c r="E236">
        <f>IF($A236="","",XLOOKUP($A236,Returns!A:A,Returns!E:E))</f>
        <v/>
      </c>
      <c r="F236">
        <f>IF(OR($A236="",D236=0),"",C236/D236*E236)</f>
        <v/>
      </c>
      <c r="G236">
        <f>IF($A236="","",C236+F236)</f>
        <v/>
      </c>
      <c r="H236">
        <f>IF($A236="","",SUMIFS(Contributions!E:E,Contributions!C:C,$B236,Contributions!F:F,"Reinvest",Contributions!G:G,$A236))</f>
        <v/>
      </c>
      <c r="I236">
        <f>IF($A236="","",G236-H236)</f>
        <v/>
      </c>
    </row>
    <row r="237">
      <c r="C237">
        <f>IF($A237="","",SUMIFS(Contributions!E:E,Contributions!B:B,$A237,Contributions!C:C,$B237))</f>
        <v/>
      </c>
      <c r="D237">
        <f>IF($A237="","",SUMIFS(Contributions!E:E,Contributions!B:B,$A237))</f>
        <v/>
      </c>
      <c r="E237">
        <f>IF($A237="","",XLOOKUP($A237,Returns!A:A,Returns!E:E))</f>
        <v/>
      </c>
      <c r="F237">
        <f>IF(OR($A237="",D237=0),"",C237/D237*E237)</f>
        <v/>
      </c>
      <c r="G237">
        <f>IF($A237="","",C237+F237)</f>
        <v/>
      </c>
      <c r="H237">
        <f>IF($A237="","",SUMIFS(Contributions!E:E,Contributions!C:C,$B237,Contributions!F:F,"Reinvest",Contributions!G:G,$A237))</f>
        <v/>
      </c>
      <c r="I237">
        <f>IF($A237="","",G237-H237)</f>
        <v/>
      </c>
    </row>
    <row r="238">
      <c r="C238">
        <f>IF($A238="","",SUMIFS(Contributions!E:E,Contributions!B:B,$A238,Contributions!C:C,$B238))</f>
        <v/>
      </c>
      <c r="D238">
        <f>IF($A238="","",SUMIFS(Contributions!E:E,Contributions!B:B,$A238))</f>
        <v/>
      </c>
      <c r="E238">
        <f>IF($A238="","",XLOOKUP($A238,Returns!A:A,Returns!E:E))</f>
        <v/>
      </c>
      <c r="F238">
        <f>IF(OR($A238="",D238=0),"",C238/D238*E238)</f>
        <v/>
      </c>
      <c r="G238">
        <f>IF($A238="","",C238+F238)</f>
        <v/>
      </c>
      <c r="H238">
        <f>IF($A238="","",SUMIFS(Contributions!E:E,Contributions!C:C,$B238,Contributions!F:F,"Reinvest",Contributions!G:G,$A238))</f>
        <v/>
      </c>
      <c r="I238">
        <f>IF($A238="","",G238-H238)</f>
        <v/>
      </c>
    </row>
    <row r="239">
      <c r="C239">
        <f>IF($A239="","",SUMIFS(Contributions!E:E,Contributions!B:B,$A239,Contributions!C:C,$B239))</f>
        <v/>
      </c>
      <c r="D239">
        <f>IF($A239="","",SUMIFS(Contributions!E:E,Contributions!B:B,$A239))</f>
        <v/>
      </c>
      <c r="E239">
        <f>IF($A239="","",XLOOKUP($A239,Returns!A:A,Returns!E:E))</f>
        <v/>
      </c>
      <c r="F239">
        <f>IF(OR($A239="",D239=0),"",C239/D239*E239)</f>
        <v/>
      </c>
      <c r="G239">
        <f>IF($A239="","",C239+F239)</f>
        <v/>
      </c>
      <c r="H239">
        <f>IF($A239="","",SUMIFS(Contributions!E:E,Contributions!C:C,$B239,Contributions!F:F,"Reinvest",Contributions!G:G,$A239))</f>
        <v/>
      </c>
      <c r="I239">
        <f>IF($A239="","",G239-H239)</f>
        <v/>
      </c>
    </row>
    <row r="240">
      <c r="C240">
        <f>IF($A240="","",SUMIFS(Contributions!E:E,Contributions!B:B,$A240,Contributions!C:C,$B240))</f>
        <v/>
      </c>
      <c r="D240">
        <f>IF($A240="","",SUMIFS(Contributions!E:E,Contributions!B:B,$A240))</f>
        <v/>
      </c>
      <c r="E240">
        <f>IF($A240="","",XLOOKUP($A240,Returns!A:A,Returns!E:E))</f>
        <v/>
      </c>
      <c r="F240">
        <f>IF(OR($A240="",D240=0),"",C240/D240*E240)</f>
        <v/>
      </c>
      <c r="G240">
        <f>IF($A240="","",C240+F240)</f>
        <v/>
      </c>
      <c r="H240">
        <f>IF($A240="","",SUMIFS(Contributions!E:E,Contributions!C:C,$B240,Contributions!F:F,"Reinvest",Contributions!G:G,$A240))</f>
        <v/>
      </c>
      <c r="I240">
        <f>IF($A240="","",G240-H240)</f>
        <v/>
      </c>
    </row>
    <row r="241">
      <c r="C241">
        <f>IF($A241="","",SUMIFS(Contributions!E:E,Contributions!B:B,$A241,Contributions!C:C,$B241))</f>
        <v/>
      </c>
      <c r="D241">
        <f>IF($A241="","",SUMIFS(Contributions!E:E,Contributions!B:B,$A241))</f>
        <v/>
      </c>
      <c r="E241">
        <f>IF($A241="","",XLOOKUP($A241,Returns!A:A,Returns!E:E))</f>
        <v/>
      </c>
      <c r="F241">
        <f>IF(OR($A241="",D241=0),"",C241/D241*E241)</f>
        <v/>
      </c>
      <c r="G241">
        <f>IF($A241="","",C241+F241)</f>
        <v/>
      </c>
      <c r="H241">
        <f>IF($A241="","",SUMIFS(Contributions!E:E,Contributions!C:C,$B241,Contributions!F:F,"Reinvest",Contributions!G:G,$A241))</f>
        <v/>
      </c>
      <c r="I241">
        <f>IF($A241="","",G241-H241)</f>
        <v/>
      </c>
    </row>
    <row r="242">
      <c r="C242">
        <f>IF($A242="","",SUMIFS(Contributions!E:E,Contributions!B:B,$A242,Contributions!C:C,$B242))</f>
        <v/>
      </c>
      <c r="D242">
        <f>IF($A242="","",SUMIFS(Contributions!E:E,Contributions!B:B,$A242))</f>
        <v/>
      </c>
      <c r="E242">
        <f>IF($A242="","",XLOOKUP($A242,Returns!A:A,Returns!E:E))</f>
        <v/>
      </c>
      <c r="F242">
        <f>IF(OR($A242="",D242=0),"",C242/D242*E242)</f>
        <v/>
      </c>
      <c r="G242">
        <f>IF($A242="","",C242+F242)</f>
        <v/>
      </c>
      <c r="H242">
        <f>IF($A242="","",SUMIFS(Contributions!E:E,Contributions!C:C,$B242,Contributions!F:F,"Reinvest",Contributions!G:G,$A242))</f>
        <v/>
      </c>
      <c r="I242">
        <f>IF($A242="","",G242-H242)</f>
        <v/>
      </c>
    </row>
    <row r="243">
      <c r="C243">
        <f>IF($A243="","",SUMIFS(Contributions!E:E,Contributions!B:B,$A243,Contributions!C:C,$B243))</f>
        <v/>
      </c>
      <c r="D243">
        <f>IF($A243="","",SUMIFS(Contributions!E:E,Contributions!B:B,$A243))</f>
        <v/>
      </c>
      <c r="E243">
        <f>IF($A243="","",XLOOKUP($A243,Returns!A:A,Returns!E:E))</f>
        <v/>
      </c>
      <c r="F243">
        <f>IF(OR($A243="",D243=0),"",C243/D243*E243)</f>
        <v/>
      </c>
      <c r="G243">
        <f>IF($A243="","",C243+F243)</f>
        <v/>
      </c>
      <c r="H243">
        <f>IF($A243="","",SUMIFS(Contributions!E:E,Contributions!C:C,$B243,Contributions!F:F,"Reinvest",Contributions!G:G,$A243))</f>
        <v/>
      </c>
      <c r="I243">
        <f>IF($A243="","",G243-H243)</f>
        <v/>
      </c>
    </row>
    <row r="244">
      <c r="C244">
        <f>IF($A244="","",SUMIFS(Contributions!E:E,Contributions!B:B,$A244,Contributions!C:C,$B244))</f>
        <v/>
      </c>
      <c r="D244">
        <f>IF($A244="","",SUMIFS(Contributions!E:E,Contributions!B:B,$A244))</f>
        <v/>
      </c>
      <c r="E244">
        <f>IF($A244="","",XLOOKUP($A244,Returns!A:A,Returns!E:E))</f>
        <v/>
      </c>
      <c r="F244">
        <f>IF(OR($A244="",D244=0),"",C244/D244*E244)</f>
        <v/>
      </c>
      <c r="G244">
        <f>IF($A244="","",C244+F244)</f>
        <v/>
      </c>
      <c r="H244">
        <f>IF($A244="","",SUMIFS(Contributions!E:E,Contributions!C:C,$B244,Contributions!F:F,"Reinvest",Contributions!G:G,$A244))</f>
        <v/>
      </c>
      <c r="I244">
        <f>IF($A244="","",G244-H244)</f>
        <v/>
      </c>
    </row>
    <row r="245">
      <c r="C245">
        <f>IF($A245="","",SUMIFS(Contributions!E:E,Contributions!B:B,$A245,Contributions!C:C,$B245))</f>
        <v/>
      </c>
      <c r="D245">
        <f>IF($A245="","",SUMIFS(Contributions!E:E,Contributions!B:B,$A245))</f>
        <v/>
      </c>
      <c r="E245">
        <f>IF($A245="","",XLOOKUP($A245,Returns!A:A,Returns!E:E))</f>
        <v/>
      </c>
      <c r="F245">
        <f>IF(OR($A245="",D245=0),"",C245/D245*E245)</f>
        <v/>
      </c>
      <c r="G245">
        <f>IF($A245="","",C245+F245)</f>
        <v/>
      </c>
      <c r="H245">
        <f>IF($A245="","",SUMIFS(Contributions!E:E,Contributions!C:C,$B245,Contributions!F:F,"Reinvest",Contributions!G:G,$A245))</f>
        <v/>
      </c>
      <c r="I245">
        <f>IF($A245="","",G245-H245)</f>
        <v/>
      </c>
    </row>
    <row r="246">
      <c r="C246">
        <f>IF($A246="","",SUMIFS(Contributions!E:E,Contributions!B:B,$A246,Contributions!C:C,$B246))</f>
        <v/>
      </c>
      <c r="D246">
        <f>IF($A246="","",SUMIFS(Contributions!E:E,Contributions!B:B,$A246))</f>
        <v/>
      </c>
      <c r="E246">
        <f>IF($A246="","",XLOOKUP($A246,Returns!A:A,Returns!E:E))</f>
        <v/>
      </c>
      <c r="F246">
        <f>IF(OR($A246="",D246=0),"",C246/D246*E246)</f>
        <v/>
      </c>
      <c r="G246">
        <f>IF($A246="","",C246+F246)</f>
        <v/>
      </c>
      <c r="H246">
        <f>IF($A246="","",SUMIFS(Contributions!E:E,Contributions!C:C,$B246,Contributions!F:F,"Reinvest",Contributions!G:G,$A246))</f>
        <v/>
      </c>
      <c r="I246">
        <f>IF($A246="","",G246-H246)</f>
        <v/>
      </c>
    </row>
    <row r="247">
      <c r="C247">
        <f>IF($A247="","",SUMIFS(Contributions!E:E,Contributions!B:B,$A247,Contributions!C:C,$B247))</f>
        <v/>
      </c>
      <c r="D247">
        <f>IF($A247="","",SUMIFS(Contributions!E:E,Contributions!B:B,$A247))</f>
        <v/>
      </c>
      <c r="E247">
        <f>IF($A247="","",XLOOKUP($A247,Returns!A:A,Returns!E:E))</f>
        <v/>
      </c>
      <c r="F247">
        <f>IF(OR($A247="",D247=0),"",C247/D247*E247)</f>
        <v/>
      </c>
      <c r="G247">
        <f>IF($A247="","",C247+F247)</f>
        <v/>
      </c>
      <c r="H247">
        <f>IF($A247="","",SUMIFS(Contributions!E:E,Contributions!C:C,$B247,Contributions!F:F,"Reinvest",Contributions!G:G,$A247))</f>
        <v/>
      </c>
      <c r="I247">
        <f>IF($A247="","",G247-H247)</f>
        <v/>
      </c>
    </row>
    <row r="248">
      <c r="C248">
        <f>IF($A248="","",SUMIFS(Contributions!E:E,Contributions!B:B,$A248,Contributions!C:C,$B248))</f>
        <v/>
      </c>
      <c r="D248">
        <f>IF($A248="","",SUMIFS(Contributions!E:E,Contributions!B:B,$A248))</f>
        <v/>
      </c>
      <c r="E248">
        <f>IF($A248="","",XLOOKUP($A248,Returns!A:A,Returns!E:E))</f>
        <v/>
      </c>
      <c r="F248">
        <f>IF(OR($A248="",D248=0),"",C248/D248*E248)</f>
        <v/>
      </c>
      <c r="G248">
        <f>IF($A248="","",C248+F248)</f>
        <v/>
      </c>
      <c r="H248">
        <f>IF($A248="","",SUMIFS(Contributions!E:E,Contributions!C:C,$B248,Contributions!F:F,"Reinvest",Contributions!G:G,$A248))</f>
        <v/>
      </c>
      <c r="I248">
        <f>IF($A248="","",G248-H248)</f>
        <v/>
      </c>
    </row>
    <row r="249">
      <c r="C249">
        <f>IF($A249="","",SUMIFS(Contributions!E:E,Contributions!B:B,$A249,Contributions!C:C,$B249))</f>
        <v/>
      </c>
      <c r="D249">
        <f>IF($A249="","",SUMIFS(Contributions!E:E,Contributions!B:B,$A249))</f>
        <v/>
      </c>
      <c r="E249">
        <f>IF($A249="","",XLOOKUP($A249,Returns!A:A,Returns!E:E))</f>
        <v/>
      </c>
      <c r="F249">
        <f>IF(OR($A249="",D249=0),"",C249/D249*E249)</f>
        <v/>
      </c>
      <c r="G249">
        <f>IF($A249="","",C249+F249)</f>
        <v/>
      </c>
      <c r="H249">
        <f>IF($A249="","",SUMIFS(Contributions!E:E,Contributions!C:C,$B249,Contributions!F:F,"Reinvest",Contributions!G:G,$A249))</f>
        <v/>
      </c>
      <c r="I249">
        <f>IF($A249="","",G249-H249)</f>
        <v/>
      </c>
    </row>
    <row r="250">
      <c r="C250">
        <f>IF($A250="","",SUMIFS(Contributions!E:E,Contributions!B:B,$A250,Contributions!C:C,$B250))</f>
        <v/>
      </c>
      <c r="D250">
        <f>IF($A250="","",SUMIFS(Contributions!E:E,Contributions!B:B,$A250))</f>
        <v/>
      </c>
      <c r="E250">
        <f>IF($A250="","",XLOOKUP($A250,Returns!A:A,Returns!E:E))</f>
        <v/>
      </c>
      <c r="F250">
        <f>IF(OR($A250="",D250=0),"",C250/D250*E250)</f>
        <v/>
      </c>
      <c r="G250">
        <f>IF($A250="","",C250+F250)</f>
        <v/>
      </c>
      <c r="H250">
        <f>IF($A250="","",SUMIFS(Contributions!E:E,Contributions!C:C,$B250,Contributions!F:F,"Reinvest",Contributions!G:G,$A250))</f>
        <v/>
      </c>
      <c r="I250">
        <f>IF($A250="","",G250-H250)</f>
        <v/>
      </c>
    </row>
    <row r="251">
      <c r="C251">
        <f>IF($A251="","",SUMIFS(Contributions!E:E,Contributions!B:B,$A251,Contributions!C:C,$B251))</f>
        <v/>
      </c>
      <c r="D251">
        <f>IF($A251="","",SUMIFS(Contributions!E:E,Contributions!B:B,$A251))</f>
        <v/>
      </c>
      <c r="E251">
        <f>IF($A251="","",XLOOKUP($A251,Returns!A:A,Returns!E:E))</f>
        <v/>
      </c>
      <c r="F251">
        <f>IF(OR($A251="",D251=0),"",C251/D251*E251)</f>
        <v/>
      </c>
      <c r="G251">
        <f>IF($A251="","",C251+F251)</f>
        <v/>
      </c>
      <c r="H251">
        <f>IF($A251="","",SUMIFS(Contributions!E:E,Contributions!C:C,$B251,Contributions!F:F,"Reinvest",Contributions!G:G,$A251))</f>
        <v/>
      </c>
      <c r="I251">
        <f>IF($A251="","",G251-H251)</f>
        <v/>
      </c>
    </row>
    <row r="252">
      <c r="C252">
        <f>IF($A252="","",SUMIFS(Contributions!E:E,Contributions!B:B,$A252,Contributions!C:C,$B252))</f>
        <v/>
      </c>
      <c r="D252">
        <f>IF($A252="","",SUMIFS(Contributions!E:E,Contributions!B:B,$A252))</f>
        <v/>
      </c>
      <c r="E252">
        <f>IF($A252="","",XLOOKUP($A252,Returns!A:A,Returns!E:E))</f>
        <v/>
      </c>
      <c r="F252">
        <f>IF(OR($A252="",D252=0),"",C252/D252*E252)</f>
        <v/>
      </c>
      <c r="G252">
        <f>IF($A252="","",C252+F252)</f>
        <v/>
      </c>
      <c r="H252">
        <f>IF($A252="","",SUMIFS(Contributions!E:E,Contributions!C:C,$B252,Contributions!F:F,"Reinvest",Contributions!G:G,$A252))</f>
        <v/>
      </c>
      <c r="I252">
        <f>IF($A252="","",G252-H252)</f>
        <v/>
      </c>
    </row>
    <row r="253">
      <c r="C253">
        <f>IF($A253="","",SUMIFS(Contributions!E:E,Contributions!B:B,$A253,Contributions!C:C,$B253))</f>
        <v/>
      </c>
      <c r="D253">
        <f>IF($A253="","",SUMIFS(Contributions!E:E,Contributions!B:B,$A253))</f>
        <v/>
      </c>
      <c r="E253">
        <f>IF($A253="","",XLOOKUP($A253,Returns!A:A,Returns!E:E))</f>
        <v/>
      </c>
      <c r="F253">
        <f>IF(OR($A253="",D253=0),"",C253/D253*E253)</f>
        <v/>
      </c>
      <c r="G253">
        <f>IF($A253="","",C253+F253)</f>
        <v/>
      </c>
      <c r="H253">
        <f>IF($A253="","",SUMIFS(Contributions!E:E,Contributions!C:C,$B253,Contributions!F:F,"Reinvest",Contributions!G:G,$A253))</f>
        <v/>
      </c>
      <c r="I253">
        <f>IF($A253="","",G253-H253)</f>
        <v/>
      </c>
    </row>
    <row r="254">
      <c r="C254">
        <f>IF($A254="","",SUMIFS(Contributions!E:E,Contributions!B:B,$A254,Contributions!C:C,$B254))</f>
        <v/>
      </c>
      <c r="D254">
        <f>IF($A254="","",SUMIFS(Contributions!E:E,Contributions!B:B,$A254))</f>
        <v/>
      </c>
      <c r="E254">
        <f>IF($A254="","",XLOOKUP($A254,Returns!A:A,Returns!E:E))</f>
        <v/>
      </c>
      <c r="F254">
        <f>IF(OR($A254="",D254=0),"",C254/D254*E254)</f>
        <v/>
      </c>
      <c r="G254">
        <f>IF($A254="","",C254+F254)</f>
        <v/>
      </c>
      <c r="H254">
        <f>IF($A254="","",SUMIFS(Contributions!E:E,Contributions!C:C,$B254,Contributions!F:F,"Reinvest",Contributions!G:G,$A254))</f>
        <v/>
      </c>
      <c r="I254">
        <f>IF($A254="","",G254-H254)</f>
        <v/>
      </c>
    </row>
    <row r="255">
      <c r="C255">
        <f>IF($A255="","",SUMIFS(Contributions!E:E,Contributions!B:B,$A255,Contributions!C:C,$B255))</f>
        <v/>
      </c>
      <c r="D255">
        <f>IF($A255="","",SUMIFS(Contributions!E:E,Contributions!B:B,$A255))</f>
        <v/>
      </c>
      <c r="E255">
        <f>IF($A255="","",XLOOKUP($A255,Returns!A:A,Returns!E:E))</f>
        <v/>
      </c>
      <c r="F255">
        <f>IF(OR($A255="",D255=0),"",C255/D255*E255)</f>
        <v/>
      </c>
      <c r="G255">
        <f>IF($A255="","",C255+F255)</f>
        <v/>
      </c>
      <c r="H255">
        <f>IF($A255="","",SUMIFS(Contributions!E:E,Contributions!C:C,$B255,Contributions!F:F,"Reinvest",Contributions!G:G,$A255))</f>
        <v/>
      </c>
      <c r="I255">
        <f>IF($A255="","",G255-H255)</f>
        <v/>
      </c>
    </row>
    <row r="256">
      <c r="C256">
        <f>IF($A256="","",SUMIFS(Contributions!E:E,Contributions!B:B,$A256,Contributions!C:C,$B256))</f>
        <v/>
      </c>
      <c r="D256">
        <f>IF($A256="","",SUMIFS(Contributions!E:E,Contributions!B:B,$A256))</f>
        <v/>
      </c>
      <c r="E256">
        <f>IF($A256="","",XLOOKUP($A256,Returns!A:A,Returns!E:E))</f>
        <v/>
      </c>
      <c r="F256">
        <f>IF(OR($A256="",D256=0),"",C256/D256*E256)</f>
        <v/>
      </c>
      <c r="G256">
        <f>IF($A256="","",C256+F256)</f>
        <v/>
      </c>
      <c r="H256">
        <f>IF($A256="","",SUMIFS(Contributions!E:E,Contributions!C:C,$B256,Contributions!F:F,"Reinvest",Contributions!G:G,$A256))</f>
        <v/>
      </c>
      <c r="I256">
        <f>IF($A256="","",G256-H256)</f>
        <v/>
      </c>
    </row>
    <row r="257">
      <c r="C257">
        <f>IF($A257="","",SUMIFS(Contributions!E:E,Contributions!B:B,$A257,Contributions!C:C,$B257))</f>
        <v/>
      </c>
      <c r="D257">
        <f>IF($A257="","",SUMIFS(Contributions!E:E,Contributions!B:B,$A257))</f>
        <v/>
      </c>
      <c r="E257">
        <f>IF($A257="","",XLOOKUP($A257,Returns!A:A,Returns!E:E))</f>
        <v/>
      </c>
      <c r="F257">
        <f>IF(OR($A257="",D257=0),"",C257/D257*E257)</f>
        <v/>
      </c>
      <c r="G257">
        <f>IF($A257="","",C257+F257)</f>
        <v/>
      </c>
      <c r="H257">
        <f>IF($A257="","",SUMIFS(Contributions!E:E,Contributions!C:C,$B257,Contributions!F:F,"Reinvest",Contributions!G:G,$A257))</f>
        <v/>
      </c>
      <c r="I257">
        <f>IF($A257="","",G257-H257)</f>
        <v/>
      </c>
    </row>
    <row r="258">
      <c r="C258">
        <f>IF($A258="","",SUMIFS(Contributions!E:E,Contributions!B:B,$A258,Contributions!C:C,$B258))</f>
        <v/>
      </c>
      <c r="D258">
        <f>IF($A258="","",SUMIFS(Contributions!E:E,Contributions!B:B,$A258))</f>
        <v/>
      </c>
      <c r="E258">
        <f>IF($A258="","",XLOOKUP($A258,Returns!A:A,Returns!E:E))</f>
        <v/>
      </c>
      <c r="F258">
        <f>IF(OR($A258="",D258=0),"",C258/D258*E258)</f>
        <v/>
      </c>
      <c r="G258">
        <f>IF($A258="","",C258+F258)</f>
        <v/>
      </c>
      <c r="H258">
        <f>IF($A258="","",SUMIFS(Contributions!E:E,Contributions!C:C,$B258,Contributions!F:F,"Reinvest",Contributions!G:G,$A258))</f>
        <v/>
      </c>
      <c r="I258">
        <f>IF($A258="","",G258-H258)</f>
        <v/>
      </c>
    </row>
    <row r="259">
      <c r="C259">
        <f>IF($A259="","",SUMIFS(Contributions!E:E,Contributions!B:B,$A259,Contributions!C:C,$B259))</f>
        <v/>
      </c>
      <c r="D259">
        <f>IF($A259="","",SUMIFS(Contributions!E:E,Contributions!B:B,$A259))</f>
        <v/>
      </c>
      <c r="E259">
        <f>IF($A259="","",XLOOKUP($A259,Returns!A:A,Returns!E:E))</f>
        <v/>
      </c>
      <c r="F259">
        <f>IF(OR($A259="",D259=0),"",C259/D259*E259)</f>
        <v/>
      </c>
      <c r="G259">
        <f>IF($A259="","",C259+F259)</f>
        <v/>
      </c>
      <c r="H259">
        <f>IF($A259="","",SUMIFS(Contributions!E:E,Contributions!C:C,$B259,Contributions!F:F,"Reinvest",Contributions!G:G,$A259))</f>
        <v/>
      </c>
      <c r="I259">
        <f>IF($A259="","",G259-H259)</f>
        <v/>
      </c>
    </row>
    <row r="260">
      <c r="C260">
        <f>IF($A260="","",SUMIFS(Contributions!E:E,Contributions!B:B,$A260,Contributions!C:C,$B260))</f>
        <v/>
      </c>
      <c r="D260">
        <f>IF($A260="","",SUMIFS(Contributions!E:E,Contributions!B:B,$A260))</f>
        <v/>
      </c>
      <c r="E260">
        <f>IF($A260="","",XLOOKUP($A260,Returns!A:A,Returns!E:E))</f>
        <v/>
      </c>
      <c r="F260">
        <f>IF(OR($A260="",D260=0),"",C260/D260*E260)</f>
        <v/>
      </c>
      <c r="G260">
        <f>IF($A260="","",C260+F260)</f>
        <v/>
      </c>
      <c r="H260">
        <f>IF($A260="","",SUMIFS(Contributions!E:E,Contributions!C:C,$B260,Contributions!F:F,"Reinvest",Contributions!G:G,$A260))</f>
        <v/>
      </c>
      <c r="I260">
        <f>IF($A260="","",G260-H260)</f>
        <v/>
      </c>
    </row>
    <row r="261">
      <c r="C261">
        <f>IF($A261="","",SUMIFS(Contributions!E:E,Contributions!B:B,$A261,Contributions!C:C,$B261))</f>
        <v/>
      </c>
      <c r="D261">
        <f>IF($A261="","",SUMIFS(Contributions!E:E,Contributions!B:B,$A261))</f>
        <v/>
      </c>
      <c r="E261">
        <f>IF($A261="","",XLOOKUP($A261,Returns!A:A,Returns!E:E))</f>
        <v/>
      </c>
      <c r="F261">
        <f>IF(OR($A261="",D261=0),"",C261/D261*E261)</f>
        <v/>
      </c>
      <c r="G261">
        <f>IF($A261="","",C261+F261)</f>
        <v/>
      </c>
      <c r="H261">
        <f>IF($A261="","",SUMIFS(Contributions!E:E,Contributions!C:C,$B261,Contributions!F:F,"Reinvest",Contributions!G:G,$A261))</f>
        <v/>
      </c>
      <c r="I261">
        <f>IF($A261="","",G261-H261)</f>
        <v/>
      </c>
    </row>
    <row r="262">
      <c r="C262">
        <f>IF($A262="","",SUMIFS(Contributions!E:E,Contributions!B:B,$A262,Contributions!C:C,$B262))</f>
        <v/>
      </c>
      <c r="D262">
        <f>IF($A262="","",SUMIFS(Contributions!E:E,Contributions!B:B,$A262))</f>
        <v/>
      </c>
      <c r="E262">
        <f>IF($A262="","",XLOOKUP($A262,Returns!A:A,Returns!E:E))</f>
        <v/>
      </c>
      <c r="F262">
        <f>IF(OR($A262="",D262=0),"",C262/D262*E262)</f>
        <v/>
      </c>
      <c r="G262">
        <f>IF($A262="","",C262+F262)</f>
        <v/>
      </c>
      <c r="H262">
        <f>IF($A262="","",SUMIFS(Contributions!E:E,Contributions!C:C,$B262,Contributions!F:F,"Reinvest",Contributions!G:G,$A262))</f>
        <v/>
      </c>
      <c r="I262">
        <f>IF($A262="","",G262-H262)</f>
        <v/>
      </c>
    </row>
    <row r="263">
      <c r="C263">
        <f>IF($A263="","",SUMIFS(Contributions!E:E,Contributions!B:B,$A263,Contributions!C:C,$B263))</f>
        <v/>
      </c>
      <c r="D263">
        <f>IF($A263="","",SUMIFS(Contributions!E:E,Contributions!B:B,$A263))</f>
        <v/>
      </c>
      <c r="E263">
        <f>IF($A263="","",XLOOKUP($A263,Returns!A:A,Returns!E:E))</f>
        <v/>
      </c>
      <c r="F263">
        <f>IF(OR($A263="",D263=0),"",C263/D263*E263)</f>
        <v/>
      </c>
      <c r="G263">
        <f>IF($A263="","",C263+F263)</f>
        <v/>
      </c>
      <c r="H263">
        <f>IF($A263="","",SUMIFS(Contributions!E:E,Contributions!C:C,$B263,Contributions!F:F,"Reinvest",Contributions!G:G,$A263))</f>
        <v/>
      </c>
      <c r="I263">
        <f>IF($A263="","",G263-H263)</f>
        <v/>
      </c>
    </row>
    <row r="264">
      <c r="C264">
        <f>IF($A264="","",SUMIFS(Contributions!E:E,Contributions!B:B,$A264,Contributions!C:C,$B264))</f>
        <v/>
      </c>
      <c r="D264">
        <f>IF($A264="","",SUMIFS(Contributions!E:E,Contributions!B:B,$A264))</f>
        <v/>
      </c>
      <c r="E264">
        <f>IF($A264="","",XLOOKUP($A264,Returns!A:A,Returns!E:E))</f>
        <v/>
      </c>
      <c r="F264">
        <f>IF(OR($A264="",D264=0),"",C264/D264*E264)</f>
        <v/>
      </c>
      <c r="G264">
        <f>IF($A264="","",C264+F264)</f>
        <v/>
      </c>
      <c r="H264">
        <f>IF($A264="","",SUMIFS(Contributions!E:E,Contributions!C:C,$B264,Contributions!F:F,"Reinvest",Contributions!G:G,$A264))</f>
        <v/>
      </c>
      <c r="I264">
        <f>IF($A264="","",G264-H264)</f>
        <v/>
      </c>
    </row>
    <row r="265">
      <c r="C265">
        <f>IF($A265="","",SUMIFS(Contributions!E:E,Contributions!B:B,$A265,Contributions!C:C,$B265))</f>
        <v/>
      </c>
      <c r="D265">
        <f>IF($A265="","",SUMIFS(Contributions!E:E,Contributions!B:B,$A265))</f>
        <v/>
      </c>
      <c r="E265">
        <f>IF($A265="","",XLOOKUP($A265,Returns!A:A,Returns!E:E))</f>
        <v/>
      </c>
      <c r="F265">
        <f>IF(OR($A265="",D265=0),"",C265/D265*E265)</f>
        <v/>
      </c>
      <c r="G265">
        <f>IF($A265="","",C265+F265)</f>
        <v/>
      </c>
      <c r="H265">
        <f>IF($A265="","",SUMIFS(Contributions!E:E,Contributions!C:C,$B265,Contributions!F:F,"Reinvest",Contributions!G:G,$A265))</f>
        <v/>
      </c>
      <c r="I265">
        <f>IF($A265="","",G265-H265)</f>
        <v/>
      </c>
    </row>
    <row r="266">
      <c r="C266">
        <f>IF($A266="","",SUMIFS(Contributions!E:E,Contributions!B:B,$A266,Contributions!C:C,$B266))</f>
        <v/>
      </c>
      <c r="D266">
        <f>IF($A266="","",SUMIFS(Contributions!E:E,Contributions!B:B,$A266))</f>
        <v/>
      </c>
      <c r="E266">
        <f>IF($A266="","",XLOOKUP($A266,Returns!A:A,Returns!E:E))</f>
        <v/>
      </c>
      <c r="F266">
        <f>IF(OR($A266="",D266=0),"",C266/D266*E266)</f>
        <v/>
      </c>
      <c r="G266">
        <f>IF($A266="","",C266+F266)</f>
        <v/>
      </c>
      <c r="H266">
        <f>IF($A266="","",SUMIFS(Contributions!E:E,Contributions!C:C,$B266,Contributions!F:F,"Reinvest",Contributions!G:G,$A266))</f>
        <v/>
      </c>
      <c r="I266">
        <f>IF($A266="","",G266-H266)</f>
        <v/>
      </c>
    </row>
    <row r="267">
      <c r="C267">
        <f>IF($A267="","",SUMIFS(Contributions!E:E,Contributions!B:B,$A267,Contributions!C:C,$B267))</f>
        <v/>
      </c>
      <c r="D267">
        <f>IF($A267="","",SUMIFS(Contributions!E:E,Contributions!B:B,$A267))</f>
        <v/>
      </c>
      <c r="E267">
        <f>IF($A267="","",XLOOKUP($A267,Returns!A:A,Returns!E:E))</f>
        <v/>
      </c>
      <c r="F267">
        <f>IF(OR($A267="",D267=0),"",C267/D267*E267)</f>
        <v/>
      </c>
      <c r="G267">
        <f>IF($A267="","",C267+F267)</f>
        <v/>
      </c>
      <c r="H267">
        <f>IF($A267="","",SUMIFS(Contributions!E:E,Contributions!C:C,$B267,Contributions!F:F,"Reinvest",Contributions!G:G,$A267))</f>
        <v/>
      </c>
      <c r="I267">
        <f>IF($A267="","",G267-H267)</f>
        <v/>
      </c>
    </row>
    <row r="268">
      <c r="C268">
        <f>IF($A268="","",SUMIFS(Contributions!E:E,Contributions!B:B,$A268,Contributions!C:C,$B268))</f>
        <v/>
      </c>
      <c r="D268">
        <f>IF($A268="","",SUMIFS(Contributions!E:E,Contributions!B:B,$A268))</f>
        <v/>
      </c>
      <c r="E268">
        <f>IF($A268="","",XLOOKUP($A268,Returns!A:A,Returns!E:E))</f>
        <v/>
      </c>
      <c r="F268">
        <f>IF(OR($A268="",D268=0),"",C268/D268*E268)</f>
        <v/>
      </c>
      <c r="G268">
        <f>IF($A268="","",C268+F268)</f>
        <v/>
      </c>
      <c r="H268">
        <f>IF($A268="","",SUMIFS(Contributions!E:E,Contributions!C:C,$B268,Contributions!F:F,"Reinvest",Contributions!G:G,$A268))</f>
        <v/>
      </c>
      <c r="I268">
        <f>IF($A268="","",G268-H268)</f>
        <v/>
      </c>
    </row>
    <row r="269">
      <c r="C269">
        <f>IF($A269="","",SUMIFS(Contributions!E:E,Contributions!B:B,$A269,Contributions!C:C,$B269))</f>
        <v/>
      </c>
      <c r="D269">
        <f>IF($A269="","",SUMIFS(Contributions!E:E,Contributions!B:B,$A269))</f>
        <v/>
      </c>
      <c r="E269">
        <f>IF($A269="","",XLOOKUP($A269,Returns!A:A,Returns!E:E))</f>
        <v/>
      </c>
      <c r="F269">
        <f>IF(OR($A269="",D269=0),"",C269/D269*E269)</f>
        <v/>
      </c>
      <c r="G269">
        <f>IF($A269="","",C269+F269)</f>
        <v/>
      </c>
      <c r="H269">
        <f>IF($A269="","",SUMIFS(Contributions!E:E,Contributions!C:C,$B269,Contributions!F:F,"Reinvest",Contributions!G:G,$A269))</f>
        <v/>
      </c>
      <c r="I269">
        <f>IF($A269="","",G269-H269)</f>
        <v/>
      </c>
    </row>
    <row r="270">
      <c r="C270">
        <f>IF($A270="","",SUMIFS(Contributions!E:E,Contributions!B:B,$A270,Contributions!C:C,$B270))</f>
        <v/>
      </c>
      <c r="D270">
        <f>IF($A270="","",SUMIFS(Contributions!E:E,Contributions!B:B,$A270))</f>
        <v/>
      </c>
      <c r="E270">
        <f>IF($A270="","",XLOOKUP($A270,Returns!A:A,Returns!E:E))</f>
        <v/>
      </c>
      <c r="F270">
        <f>IF(OR($A270="",D270=0),"",C270/D270*E270)</f>
        <v/>
      </c>
      <c r="G270">
        <f>IF($A270="","",C270+F270)</f>
        <v/>
      </c>
      <c r="H270">
        <f>IF($A270="","",SUMIFS(Contributions!E:E,Contributions!C:C,$B270,Contributions!F:F,"Reinvest",Contributions!G:G,$A270))</f>
        <v/>
      </c>
      <c r="I270">
        <f>IF($A270="","",G270-H270)</f>
        <v/>
      </c>
    </row>
    <row r="271">
      <c r="C271">
        <f>IF($A271="","",SUMIFS(Contributions!E:E,Contributions!B:B,$A271,Contributions!C:C,$B271))</f>
        <v/>
      </c>
      <c r="D271">
        <f>IF($A271="","",SUMIFS(Contributions!E:E,Contributions!B:B,$A271))</f>
        <v/>
      </c>
      <c r="E271">
        <f>IF($A271="","",XLOOKUP($A271,Returns!A:A,Returns!E:E))</f>
        <v/>
      </c>
      <c r="F271">
        <f>IF(OR($A271="",D271=0),"",C271/D271*E271)</f>
        <v/>
      </c>
      <c r="G271">
        <f>IF($A271="","",C271+F271)</f>
        <v/>
      </c>
      <c r="H271">
        <f>IF($A271="","",SUMIFS(Contributions!E:E,Contributions!C:C,$B271,Contributions!F:F,"Reinvest",Contributions!G:G,$A271))</f>
        <v/>
      </c>
      <c r="I271">
        <f>IF($A271="","",G271-H271)</f>
        <v/>
      </c>
    </row>
    <row r="272">
      <c r="C272">
        <f>IF($A272="","",SUMIFS(Contributions!E:E,Contributions!B:B,$A272,Contributions!C:C,$B272))</f>
        <v/>
      </c>
      <c r="D272">
        <f>IF($A272="","",SUMIFS(Contributions!E:E,Contributions!B:B,$A272))</f>
        <v/>
      </c>
      <c r="E272">
        <f>IF($A272="","",XLOOKUP($A272,Returns!A:A,Returns!E:E))</f>
        <v/>
      </c>
      <c r="F272">
        <f>IF(OR($A272="",D272=0),"",C272/D272*E272)</f>
        <v/>
      </c>
      <c r="G272">
        <f>IF($A272="","",C272+F272)</f>
        <v/>
      </c>
      <c r="H272">
        <f>IF($A272="","",SUMIFS(Contributions!E:E,Contributions!C:C,$B272,Contributions!F:F,"Reinvest",Contributions!G:G,$A272))</f>
        <v/>
      </c>
      <c r="I272">
        <f>IF($A272="","",G272-H272)</f>
        <v/>
      </c>
    </row>
    <row r="273">
      <c r="C273">
        <f>IF($A273="","",SUMIFS(Contributions!E:E,Contributions!B:B,$A273,Contributions!C:C,$B273))</f>
        <v/>
      </c>
      <c r="D273">
        <f>IF($A273="","",SUMIFS(Contributions!E:E,Contributions!B:B,$A273))</f>
        <v/>
      </c>
      <c r="E273">
        <f>IF($A273="","",XLOOKUP($A273,Returns!A:A,Returns!E:E))</f>
        <v/>
      </c>
      <c r="F273">
        <f>IF(OR($A273="",D273=0),"",C273/D273*E273)</f>
        <v/>
      </c>
      <c r="G273">
        <f>IF($A273="","",C273+F273)</f>
        <v/>
      </c>
      <c r="H273">
        <f>IF($A273="","",SUMIFS(Contributions!E:E,Contributions!C:C,$B273,Contributions!F:F,"Reinvest",Contributions!G:G,$A273))</f>
        <v/>
      </c>
      <c r="I273">
        <f>IF($A273="","",G273-H273)</f>
        <v/>
      </c>
    </row>
    <row r="274">
      <c r="C274">
        <f>IF($A274="","",SUMIFS(Contributions!E:E,Contributions!B:B,$A274,Contributions!C:C,$B274))</f>
        <v/>
      </c>
      <c r="D274">
        <f>IF($A274="","",SUMIFS(Contributions!E:E,Contributions!B:B,$A274))</f>
        <v/>
      </c>
      <c r="E274">
        <f>IF($A274="","",XLOOKUP($A274,Returns!A:A,Returns!E:E))</f>
        <v/>
      </c>
      <c r="F274">
        <f>IF(OR($A274="",D274=0),"",C274/D274*E274)</f>
        <v/>
      </c>
      <c r="G274">
        <f>IF($A274="","",C274+F274)</f>
        <v/>
      </c>
      <c r="H274">
        <f>IF($A274="","",SUMIFS(Contributions!E:E,Contributions!C:C,$B274,Contributions!F:F,"Reinvest",Contributions!G:G,$A274))</f>
        <v/>
      </c>
      <c r="I274">
        <f>IF($A274="","",G274-H274)</f>
        <v/>
      </c>
    </row>
    <row r="275">
      <c r="C275">
        <f>IF($A275="","",SUMIFS(Contributions!E:E,Contributions!B:B,$A275,Contributions!C:C,$B275))</f>
        <v/>
      </c>
      <c r="D275">
        <f>IF($A275="","",SUMIFS(Contributions!E:E,Contributions!B:B,$A275))</f>
        <v/>
      </c>
      <c r="E275">
        <f>IF($A275="","",XLOOKUP($A275,Returns!A:A,Returns!E:E))</f>
        <v/>
      </c>
      <c r="F275">
        <f>IF(OR($A275="",D275=0),"",C275/D275*E275)</f>
        <v/>
      </c>
      <c r="G275">
        <f>IF($A275="","",C275+F275)</f>
        <v/>
      </c>
      <c r="H275">
        <f>IF($A275="","",SUMIFS(Contributions!E:E,Contributions!C:C,$B275,Contributions!F:F,"Reinvest",Contributions!G:G,$A275))</f>
        <v/>
      </c>
      <c r="I275">
        <f>IF($A275="","",G275-H275)</f>
        <v/>
      </c>
    </row>
    <row r="276">
      <c r="C276">
        <f>IF($A276="","",SUMIFS(Contributions!E:E,Contributions!B:B,$A276,Contributions!C:C,$B276))</f>
        <v/>
      </c>
      <c r="D276">
        <f>IF($A276="","",SUMIFS(Contributions!E:E,Contributions!B:B,$A276))</f>
        <v/>
      </c>
      <c r="E276">
        <f>IF($A276="","",XLOOKUP($A276,Returns!A:A,Returns!E:E))</f>
        <v/>
      </c>
      <c r="F276">
        <f>IF(OR($A276="",D276=0),"",C276/D276*E276)</f>
        <v/>
      </c>
      <c r="G276">
        <f>IF($A276="","",C276+F276)</f>
        <v/>
      </c>
      <c r="H276">
        <f>IF($A276="","",SUMIFS(Contributions!E:E,Contributions!C:C,$B276,Contributions!F:F,"Reinvest",Contributions!G:G,$A276))</f>
        <v/>
      </c>
      <c r="I276">
        <f>IF($A276="","",G276-H276)</f>
        <v/>
      </c>
    </row>
    <row r="277">
      <c r="C277">
        <f>IF($A277="","",SUMIFS(Contributions!E:E,Contributions!B:B,$A277,Contributions!C:C,$B277))</f>
        <v/>
      </c>
      <c r="D277">
        <f>IF($A277="","",SUMIFS(Contributions!E:E,Contributions!B:B,$A277))</f>
        <v/>
      </c>
      <c r="E277">
        <f>IF($A277="","",XLOOKUP($A277,Returns!A:A,Returns!E:E))</f>
        <v/>
      </c>
      <c r="F277">
        <f>IF(OR($A277="",D277=0),"",C277/D277*E277)</f>
        <v/>
      </c>
      <c r="G277">
        <f>IF($A277="","",C277+F277)</f>
        <v/>
      </c>
      <c r="H277">
        <f>IF($A277="","",SUMIFS(Contributions!E:E,Contributions!C:C,$B277,Contributions!F:F,"Reinvest",Contributions!G:G,$A277))</f>
        <v/>
      </c>
      <c r="I277">
        <f>IF($A277="","",G277-H277)</f>
        <v/>
      </c>
    </row>
    <row r="278">
      <c r="C278">
        <f>IF($A278="","",SUMIFS(Contributions!E:E,Contributions!B:B,$A278,Contributions!C:C,$B278))</f>
        <v/>
      </c>
      <c r="D278">
        <f>IF($A278="","",SUMIFS(Contributions!E:E,Contributions!B:B,$A278))</f>
        <v/>
      </c>
      <c r="E278">
        <f>IF($A278="","",XLOOKUP($A278,Returns!A:A,Returns!E:E))</f>
        <v/>
      </c>
      <c r="F278">
        <f>IF(OR($A278="",D278=0),"",C278/D278*E278)</f>
        <v/>
      </c>
      <c r="G278">
        <f>IF($A278="","",C278+F278)</f>
        <v/>
      </c>
      <c r="H278">
        <f>IF($A278="","",SUMIFS(Contributions!E:E,Contributions!C:C,$B278,Contributions!F:F,"Reinvest",Contributions!G:G,$A278))</f>
        <v/>
      </c>
      <c r="I278">
        <f>IF($A278="","",G278-H278)</f>
        <v/>
      </c>
    </row>
    <row r="279">
      <c r="C279">
        <f>IF($A279="","",SUMIFS(Contributions!E:E,Contributions!B:B,$A279,Contributions!C:C,$B279))</f>
        <v/>
      </c>
      <c r="D279">
        <f>IF($A279="","",SUMIFS(Contributions!E:E,Contributions!B:B,$A279))</f>
        <v/>
      </c>
      <c r="E279">
        <f>IF($A279="","",XLOOKUP($A279,Returns!A:A,Returns!E:E))</f>
        <v/>
      </c>
      <c r="F279">
        <f>IF(OR($A279="",D279=0),"",C279/D279*E279)</f>
        <v/>
      </c>
      <c r="G279">
        <f>IF($A279="","",C279+F279)</f>
        <v/>
      </c>
      <c r="H279">
        <f>IF($A279="","",SUMIFS(Contributions!E:E,Contributions!C:C,$B279,Contributions!F:F,"Reinvest",Contributions!G:G,$A279))</f>
        <v/>
      </c>
      <c r="I279">
        <f>IF($A279="","",G279-H279)</f>
        <v/>
      </c>
    </row>
    <row r="280">
      <c r="C280">
        <f>IF($A280="","",SUMIFS(Contributions!E:E,Contributions!B:B,$A280,Contributions!C:C,$B280))</f>
        <v/>
      </c>
      <c r="D280">
        <f>IF($A280="","",SUMIFS(Contributions!E:E,Contributions!B:B,$A280))</f>
        <v/>
      </c>
      <c r="E280">
        <f>IF($A280="","",XLOOKUP($A280,Returns!A:A,Returns!E:E))</f>
        <v/>
      </c>
      <c r="F280">
        <f>IF(OR($A280="",D280=0),"",C280/D280*E280)</f>
        <v/>
      </c>
      <c r="G280">
        <f>IF($A280="","",C280+F280)</f>
        <v/>
      </c>
      <c r="H280">
        <f>IF($A280="","",SUMIFS(Contributions!E:E,Contributions!C:C,$B280,Contributions!F:F,"Reinvest",Contributions!G:G,$A280))</f>
        <v/>
      </c>
      <c r="I280">
        <f>IF($A280="","",G280-H280)</f>
        <v/>
      </c>
    </row>
    <row r="281">
      <c r="C281">
        <f>IF($A281="","",SUMIFS(Contributions!E:E,Contributions!B:B,$A281,Contributions!C:C,$B281))</f>
        <v/>
      </c>
      <c r="D281">
        <f>IF($A281="","",SUMIFS(Contributions!E:E,Contributions!B:B,$A281))</f>
        <v/>
      </c>
      <c r="E281">
        <f>IF($A281="","",XLOOKUP($A281,Returns!A:A,Returns!E:E))</f>
        <v/>
      </c>
      <c r="F281">
        <f>IF(OR($A281="",D281=0),"",C281/D281*E281)</f>
        <v/>
      </c>
      <c r="G281">
        <f>IF($A281="","",C281+F281)</f>
        <v/>
      </c>
      <c r="H281">
        <f>IF($A281="","",SUMIFS(Contributions!E:E,Contributions!C:C,$B281,Contributions!F:F,"Reinvest",Contributions!G:G,$A281))</f>
        <v/>
      </c>
      <c r="I281">
        <f>IF($A281="","",G281-H281)</f>
        <v/>
      </c>
    </row>
    <row r="282">
      <c r="C282">
        <f>IF($A282="","",SUMIFS(Contributions!E:E,Contributions!B:B,$A282,Contributions!C:C,$B282))</f>
        <v/>
      </c>
      <c r="D282">
        <f>IF($A282="","",SUMIFS(Contributions!E:E,Contributions!B:B,$A282))</f>
        <v/>
      </c>
      <c r="E282">
        <f>IF($A282="","",XLOOKUP($A282,Returns!A:A,Returns!E:E))</f>
        <v/>
      </c>
      <c r="F282">
        <f>IF(OR($A282="",D282=0),"",C282/D282*E282)</f>
        <v/>
      </c>
      <c r="G282">
        <f>IF($A282="","",C282+F282)</f>
        <v/>
      </c>
      <c r="H282">
        <f>IF($A282="","",SUMIFS(Contributions!E:E,Contributions!C:C,$B282,Contributions!F:F,"Reinvest",Contributions!G:G,$A282))</f>
        <v/>
      </c>
      <c r="I282">
        <f>IF($A282="","",G282-H282)</f>
        <v/>
      </c>
    </row>
    <row r="283">
      <c r="C283">
        <f>IF($A283="","",SUMIFS(Contributions!E:E,Contributions!B:B,$A283,Contributions!C:C,$B283))</f>
        <v/>
      </c>
      <c r="D283">
        <f>IF($A283="","",SUMIFS(Contributions!E:E,Contributions!B:B,$A283))</f>
        <v/>
      </c>
      <c r="E283">
        <f>IF($A283="","",XLOOKUP($A283,Returns!A:A,Returns!E:E))</f>
        <v/>
      </c>
      <c r="F283">
        <f>IF(OR($A283="",D283=0),"",C283/D283*E283)</f>
        <v/>
      </c>
      <c r="G283">
        <f>IF($A283="","",C283+F283)</f>
        <v/>
      </c>
      <c r="H283">
        <f>IF($A283="","",SUMIFS(Contributions!E:E,Contributions!C:C,$B283,Contributions!F:F,"Reinvest",Contributions!G:G,$A283))</f>
        <v/>
      </c>
      <c r="I283">
        <f>IF($A283="","",G283-H283)</f>
        <v/>
      </c>
    </row>
    <row r="284">
      <c r="C284">
        <f>IF($A284="","",SUMIFS(Contributions!E:E,Contributions!B:B,$A284,Contributions!C:C,$B284))</f>
        <v/>
      </c>
      <c r="D284">
        <f>IF($A284="","",SUMIFS(Contributions!E:E,Contributions!B:B,$A284))</f>
        <v/>
      </c>
      <c r="E284">
        <f>IF($A284="","",XLOOKUP($A284,Returns!A:A,Returns!E:E))</f>
        <v/>
      </c>
      <c r="F284">
        <f>IF(OR($A284="",D284=0),"",C284/D284*E284)</f>
        <v/>
      </c>
      <c r="G284">
        <f>IF($A284="","",C284+F284)</f>
        <v/>
      </c>
      <c r="H284">
        <f>IF($A284="","",SUMIFS(Contributions!E:E,Contributions!C:C,$B284,Contributions!F:F,"Reinvest",Contributions!G:G,$A284))</f>
        <v/>
      </c>
      <c r="I284">
        <f>IF($A284="","",G284-H284)</f>
        <v/>
      </c>
    </row>
    <row r="285">
      <c r="C285">
        <f>IF($A285="","",SUMIFS(Contributions!E:E,Contributions!B:B,$A285,Contributions!C:C,$B285))</f>
        <v/>
      </c>
      <c r="D285">
        <f>IF($A285="","",SUMIFS(Contributions!E:E,Contributions!B:B,$A285))</f>
        <v/>
      </c>
      <c r="E285">
        <f>IF($A285="","",XLOOKUP($A285,Returns!A:A,Returns!E:E))</f>
        <v/>
      </c>
      <c r="F285">
        <f>IF(OR($A285="",D285=0),"",C285/D285*E285)</f>
        <v/>
      </c>
      <c r="G285">
        <f>IF($A285="","",C285+F285)</f>
        <v/>
      </c>
      <c r="H285">
        <f>IF($A285="","",SUMIFS(Contributions!E:E,Contributions!C:C,$B285,Contributions!F:F,"Reinvest",Contributions!G:G,$A285))</f>
        <v/>
      </c>
      <c r="I285">
        <f>IF($A285="","",G285-H285)</f>
        <v/>
      </c>
    </row>
    <row r="286">
      <c r="C286">
        <f>IF($A286="","",SUMIFS(Contributions!E:E,Contributions!B:B,$A286,Contributions!C:C,$B286))</f>
        <v/>
      </c>
      <c r="D286">
        <f>IF($A286="","",SUMIFS(Contributions!E:E,Contributions!B:B,$A286))</f>
        <v/>
      </c>
      <c r="E286">
        <f>IF($A286="","",XLOOKUP($A286,Returns!A:A,Returns!E:E))</f>
        <v/>
      </c>
      <c r="F286">
        <f>IF(OR($A286="",D286=0),"",C286/D286*E286)</f>
        <v/>
      </c>
      <c r="G286">
        <f>IF($A286="","",C286+F286)</f>
        <v/>
      </c>
      <c r="H286">
        <f>IF($A286="","",SUMIFS(Contributions!E:E,Contributions!C:C,$B286,Contributions!F:F,"Reinvest",Contributions!G:G,$A286))</f>
        <v/>
      </c>
      <c r="I286">
        <f>IF($A286="","",G286-H286)</f>
        <v/>
      </c>
    </row>
    <row r="287">
      <c r="C287">
        <f>IF($A287="","",SUMIFS(Contributions!E:E,Contributions!B:B,$A287,Contributions!C:C,$B287))</f>
        <v/>
      </c>
      <c r="D287">
        <f>IF($A287="","",SUMIFS(Contributions!E:E,Contributions!B:B,$A287))</f>
        <v/>
      </c>
      <c r="E287">
        <f>IF($A287="","",XLOOKUP($A287,Returns!A:A,Returns!E:E))</f>
        <v/>
      </c>
      <c r="F287">
        <f>IF(OR($A287="",D287=0),"",C287/D287*E287)</f>
        <v/>
      </c>
      <c r="G287">
        <f>IF($A287="","",C287+F287)</f>
        <v/>
      </c>
      <c r="H287">
        <f>IF($A287="","",SUMIFS(Contributions!E:E,Contributions!C:C,$B287,Contributions!F:F,"Reinvest",Contributions!G:G,$A287))</f>
        <v/>
      </c>
      <c r="I287">
        <f>IF($A287="","",G287-H287)</f>
        <v/>
      </c>
    </row>
    <row r="288">
      <c r="C288">
        <f>IF($A288="","",SUMIFS(Contributions!E:E,Contributions!B:B,$A288,Contributions!C:C,$B288))</f>
        <v/>
      </c>
      <c r="D288">
        <f>IF($A288="","",SUMIFS(Contributions!E:E,Contributions!B:B,$A288))</f>
        <v/>
      </c>
      <c r="E288">
        <f>IF($A288="","",XLOOKUP($A288,Returns!A:A,Returns!E:E))</f>
        <v/>
      </c>
      <c r="F288">
        <f>IF(OR($A288="",D288=0),"",C288/D288*E288)</f>
        <v/>
      </c>
      <c r="G288">
        <f>IF($A288="","",C288+F288)</f>
        <v/>
      </c>
      <c r="H288">
        <f>IF($A288="","",SUMIFS(Contributions!E:E,Contributions!C:C,$B288,Contributions!F:F,"Reinvest",Contributions!G:G,$A288))</f>
        <v/>
      </c>
      <c r="I288">
        <f>IF($A288="","",G288-H288)</f>
        <v/>
      </c>
    </row>
    <row r="289">
      <c r="C289">
        <f>IF($A289="","",SUMIFS(Contributions!E:E,Contributions!B:B,$A289,Contributions!C:C,$B289))</f>
        <v/>
      </c>
      <c r="D289">
        <f>IF($A289="","",SUMIFS(Contributions!E:E,Contributions!B:B,$A289))</f>
        <v/>
      </c>
      <c r="E289">
        <f>IF($A289="","",XLOOKUP($A289,Returns!A:A,Returns!E:E))</f>
        <v/>
      </c>
      <c r="F289">
        <f>IF(OR($A289="",D289=0),"",C289/D289*E289)</f>
        <v/>
      </c>
      <c r="G289">
        <f>IF($A289="","",C289+F289)</f>
        <v/>
      </c>
      <c r="H289">
        <f>IF($A289="","",SUMIFS(Contributions!E:E,Contributions!C:C,$B289,Contributions!F:F,"Reinvest",Contributions!G:G,$A289))</f>
        <v/>
      </c>
      <c r="I289">
        <f>IF($A289="","",G289-H289)</f>
        <v/>
      </c>
    </row>
    <row r="290">
      <c r="C290">
        <f>IF($A290="","",SUMIFS(Contributions!E:E,Contributions!B:B,$A290,Contributions!C:C,$B290))</f>
        <v/>
      </c>
      <c r="D290">
        <f>IF($A290="","",SUMIFS(Contributions!E:E,Contributions!B:B,$A290))</f>
        <v/>
      </c>
      <c r="E290">
        <f>IF($A290="","",XLOOKUP($A290,Returns!A:A,Returns!E:E))</f>
        <v/>
      </c>
      <c r="F290">
        <f>IF(OR($A290="",D290=0),"",C290/D290*E290)</f>
        <v/>
      </c>
      <c r="G290">
        <f>IF($A290="","",C290+F290)</f>
        <v/>
      </c>
      <c r="H290">
        <f>IF($A290="","",SUMIFS(Contributions!E:E,Contributions!C:C,$B290,Contributions!F:F,"Reinvest",Contributions!G:G,$A290))</f>
        <v/>
      </c>
      <c r="I290">
        <f>IF($A290="","",G290-H290)</f>
        <v/>
      </c>
    </row>
    <row r="291">
      <c r="C291">
        <f>IF($A291="","",SUMIFS(Contributions!E:E,Contributions!B:B,$A291,Contributions!C:C,$B291))</f>
        <v/>
      </c>
      <c r="D291">
        <f>IF($A291="","",SUMIFS(Contributions!E:E,Contributions!B:B,$A291))</f>
        <v/>
      </c>
      <c r="E291">
        <f>IF($A291="","",XLOOKUP($A291,Returns!A:A,Returns!E:E))</f>
        <v/>
      </c>
      <c r="F291">
        <f>IF(OR($A291="",D291=0),"",C291/D291*E291)</f>
        <v/>
      </c>
      <c r="G291">
        <f>IF($A291="","",C291+F291)</f>
        <v/>
      </c>
      <c r="H291">
        <f>IF($A291="","",SUMIFS(Contributions!E:E,Contributions!C:C,$B291,Contributions!F:F,"Reinvest",Contributions!G:G,$A291))</f>
        <v/>
      </c>
      <c r="I291">
        <f>IF($A291="","",G291-H291)</f>
        <v/>
      </c>
    </row>
    <row r="292">
      <c r="C292">
        <f>IF($A292="","",SUMIFS(Contributions!E:E,Contributions!B:B,$A292,Contributions!C:C,$B292))</f>
        <v/>
      </c>
      <c r="D292">
        <f>IF($A292="","",SUMIFS(Contributions!E:E,Contributions!B:B,$A292))</f>
        <v/>
      </c>
      <c r="E292">
        <f>IF($A292="","",XLOOKUP($A292,Returns!A:A,Returns!E:E))</f>
        <v/>
      </c>
      <c r="F292">
        <f>IF(OR($A292="",D292=0),"",C292/D292*E292)</f>
        <v/>
      </c>
      <c r="G292">
        <f>IF($A292="","",C292+F292)</f>
        <v/>
      </c>
      <c r="H292">
        <f>IF($A292="","",SUMIFS(Contributions!E:E,Contributions!C:C,$B292,Contributions!F:F,"Reinvest",Contributions!G:G,$A292))</f>
        <v/>
      </c>
      <c r="I292">
        <f>IF($A292="","",G292-H292)</f>
        <v/>
      </c>
    </row>
    <row r="293">
      <c r="C293">
        <f>IF($A293="","",SUMIFS(Contributions!E:E,Contributions!B:B,$A293,Contributions!C:C,$B293))</f>
        <v/>
      </c>
      <c r="D293">
        <f>IF($A293="","",SUMIFS(Contributions!E:E,Contributions!B:B,$A293))</f>
        <v/>
      </c>
      <c r="E293">
        <f>IF($A293="","",XLOOKUP($A293,Returns!A:A,Returns!E:E))</f>
        <v/>
      </c>
      <c r="F293">
        <f>IF(OR($A293="",D293=0),"",C293/D293*E293)</f>
        <v/>
      </c>
      <c r="G293">
        <f>IF($A293="","",C293+F293)</f>
        <v/>
      </c>
      <c r="H293">
        <f>IF($A293="","",SUMIFS(Contributions!E:E,Contributions!C:C,$B293,Contributions!F:F,"Reinvest",Contributions!G:G,$A293))</f>
        <v/>
      </c>
      <c r="I293">
        <f>IF($A293="","",G293-H293)</f>
        <v/>
      </c>
    </row>
    <row r="294">
      <c r="C294">
        <f>IF($A294="","",SUMIFS(Contributions!E:E,Contributions!B:B,$A294,Contributions!C:C,$B294))</f>
        <v/>
      </c>
      <c r="D294">
        <f>IF($A294="","",SUMIFS(Contributions!E:E,Contributions!B:B,$A294))</f>
        <v/>
      </c>
      <c r="E294">
        <f>IF($A294="","",XLOOKUP($A294,Returns!A:A,Returns!E:E))</f>
        <v/>
      </c>
      <c r="F294">
        <f>IF(OR($A294="",D294=0),"",C294/D294*E294)</f>
        <v/>
      </c>
      <c r="G294">
        <f>IF($A294="","",C294+F294)</f>
        <v/>
      </c>
      <c r="H294">
        <f>IF($A294="","",SUMIFS(Contributions!E:E,Contributions!C:C,$B294,Contributions!F:F,"Reinvest",Contributions!G:G,$A294))</f>
        <v/>
      </c>
      <c r="I294">
        <f>IF($A294="","",G294-H294)</f>
        <v/>
      </c>
    </row>
    <row r="295">
      <c r="C295">
        <f>IF($A295="","",SUMIFS(Contributions!E:E,Contributions!B:B,$A295,Contributions!C:C,$B295))</f>
        <v/>
      </c>
      <c r="D295">
        <f>IF($A295="","",SUMIFS(Contributions!E:E,Contributions!B:B,$A295))</f>
        <v/>
      </c>
      <c r="E295">
        <f>IF($A295="","",XLOOKUP($A295,Returns!A:A,Returns!E:E))</f>
        <v/>
      </c>
      <c r="F295">
        <f>IF(OR($A295="",D295=0),"",C295/D295*E295)</f>
        <v/>
      </c>
      <c r="G295">
        <f>IF($A295="","",C295+F295)</f>
        <v/>
      </c>
      <c r="H295">
        <f>IF($A295="","",SUMIFS(Contributions!E:E,Contributions!C:C,$B295,Contributions!F:F,"Reinvest",Contributions!G:G,$A295))</f>
        <v/>
      </c>
      <c r="I295">
        <f>IF($A295="","",G295-H295)</f>
        <v/>
      </c>
    </row>
    <row r="296">
      <c r="C296">
        <f>IF($A296="","",SUMIFS(Contributions!E:E,Contributions!B:B,$A296,Contributions!C:C,$B296))</f>
        <v/>
      </c>
      <c r="D296">
        <f>IF($A296="","",SUMIFS(Contributions!E:E,Contributions!B:B,$A296))</f>
        <v/>
      </c>
      <c r="E296">
        <f>IF($A296="","",XLOOKUP($A296,Returns!A:A,Returns!E:E))</f>
        <v/>
      </c>
      <c r="F296">
        <f>IF(OR($A296="",D296=0),"",C296/D296*E296)</f>
        <v/>
      </c>
      <c r="G296">
        <f>IF($A296="","",C296+F296)</f>
        <v/>
      </c>
      <c r="H296">
        <f>IF($A296="","",SUMIFS(Contributions!E:E,Contributions!C:C,$B296,Contributions!F:F,"Reinvest",Contributions!G:G,$A296))</f>
        <v/>
      </c>
      <c r="I296">
        <f>IF($A296="","",G296-H296)</f>
        <v/>
      </c>
    </row>
    <row r="297">
      <c r="C297">
        <f>IF($A297="","",SUMIFS(Contributions!E:E,Contributions!B:B,$A297,Contributions!C:C,$B297))</f>
        <v/>
      </c>
      <c r="D297">
        <f>IF($A297="","",SUMIFS(Contributions!E:E,Contributions!B:B,$A297))</f>
        <v/>
      </c>
      <c r="E297">
        <f>IF($A297="","",XLOOKUP($A297,Returns!A:A,Returns!E:E))</f>
        <v/>
      </c>
      <c r="F297">
        <f>IF(OR($A297="",D297=0),"",C297/D297*E297)</f>
        <v/>
      </c>
      <c r="G297">
        <f>IF($A297="","",C297+F297)</f>
        <v/>
      </c>
      <c r="H297">
        <f>IF($A297="","",SUMIFS(Contributions!E:E,Contributions!C:C,$B297,Contributions!F:F,"Reinvest",Contributions!G:G,$A297))</f>
        <v/>
      </c>
      <c r="I297">
        <f>IF($A297="","",G297-H297)</f>
        <v/>
      </c>
    </row>
    <row r="298">
      <c r="C298">
        <f>IF($A298="","",SUMIFS(Contributions!E:E,Contributions!B:B,$A298,Contributions!C:C,$B298))</f>
        <v/>
      </c>
      <c r="D298">
        <f>IF($A298="","",SUMIFS(Contributions!E:E,Contributions!B:B,$A298))</f>
        <v/>
      </c>
      <c r="E298">
        <f>IF($A298="","",XLOOKUP($A298,Returns!A:A,Returns!E:E))</f>
        <v/>
      </c>
      <c r="F298">
        <f>IF(OR($A298="",D298=0),"",C298/D298*E298)</f>
        <v/>
      </c>
      <c r="G298">
        <f>IF($A298="","",C298+F298)</f>
        <v/>
      </c>
      <c r="H298">
        <f>IF($A298="","",SUMIFS(Contributions!E:E,Contributions!C:C,$B298,Contributions!F:F,"Reinvest",Contributions!G:G,$A298))</f>
        <v/>
      </c>
      <c r="I298">
        <f>IF($A298="","",G298-H298)</f>
        <v/>
      </c>
    </row>
    <row r="299">
      <c r="C299">
        <f>IF($A299="","",SUMIFS(Contributions!E:E,Contributions!B:B,$A299,Contributions!C:C,$B299))</f>
        <v/>
      </c>
      <c r="D299">
        <f>IF($A299="","",SUMIFS(Contributions!E:E,Contributions!B:B,$A299))</f>
        <v/>
      </c>
      <c r="E299">
        <f>IF($A299="","",XLOOKUP($A299,Returns!A:A,Returns!E:E))</f>
        <v/>
      </c>
      <c r="F299">
        <f>IF(OR($A299="",D299=0),"",C299/D299*E299)</f>
        <v/>
      </c>
      <c r="G299">
        <f>IF($A299="","",C299+F299)</f>
        <v/>
      </c>
      <c r="H299">
        <f>IF($A299="","",SUMIFS(Contributions!E:E,Contributions!C:C,$B299,Contributions!F:F,"Reinvest",Contributions!G:G,$A299))</f>
        <v/>
      </c>
      <c r="I299">
        <f>IF($A299="","",G299-H299)</f>
        <v/>
      </c>
    </row>
    <row r="300">
      <c r="C300">
        <f>IF($A300="","",SUMIFS(Contributions!E:E,Contributions!B:B,$A300,Contributions!C:C,$B300))</f>
        <v/>
      </c>
      <c r="D300">
        <f>IF($A300="","",SUMIFS(Contributions!E:E,Contributions!B:B,$A300))</f>
        <v/>
      </c>
      <c r="E300">
        <f>IF($A300="","",XLOOKUP($A300,Returns!A:A,Returns!E:E))</f>
        <v/>
      </c>
      <c r="F300">
        <f>IF(OR($A300="",D300=0),"",C300/D300*E300)</f>
        <v/>
      </c>
      <c r="G300">
        <f>IF($A300="","",C300+F300)</f>
        <v/>
      </c>
      <c r="H300">
        <f>IF($A300="","",SUMIFS(Contributions!E:E,Contributions!C:C,$B300,Contributions!F:F,"Reinvest",Contributions!G:G,$A300))</f>
        <v/>
      </c>
      <c r="I300">
        <f>IF($A300="","",G300-H300)</f>
        <v/>
      </c>
    </row>
    <row r="301">
      <c r="C301">
        <f>IF($A301="","",SUMIFS(Contributions!E:E,Contributions!B:B,$A301,Contributions!C:C,$B301))</f>
        <v/>
      </c>
      <c r="D301">
        <f>IF($A301="","",SUMIFS(Contributions!E:E,Contributions!B:B,$A301))</f>
        <v/>
      </c>
      <c r="E301">
        <f>IF($A301="","",XLOOKUP($A301,Returns!A:A,Returns!E:E))</f>
        <v/>
      </c>
      <c r="F301">
        <f>IF(OR($A301="",D301=0),"",C301/D301*E301)</f>
        <v/>
      </c>
      <c r="G301">
        <f>IF($A301="","",C301+F301)</f>
        <v/>
      </c>
      <c r="H301">
        <f>IF($A301="","",SUMIFS(Contributions!E:E,Contributions!C:C,$B301,Contributions!F:F,"Reinvest",Contributions!G:G,$A301))</f>
        <v/>
      </c>
      <c r="I301">
        <f>IF($A301="","",G301-H301)</f>
        <v/>
      </c>
    </row>
    <row r="302">
      <c r="C302">
        <f>IF($A302="","",SUMIFS(Contributions!E:E,Contributions!B:B,$A302,Contributions!C:C,$B302))</f>
        <v/>
      </c>
      <c r="D302">
        <f>IF($A302="","",SUMIFS(Contributions!E:E,Contributions!B:B,$A302))</f>
        <v/>
      </c>
      <c r="E302">
        <f>IF($A302="","",XLOOKUP($A302,Returns!A:A,Returns!E:E))</f>
        <v/>
      </c>
      <c r="F302">
        <f>IF(OR($A302="",D302=0),"",C302/D302*E302)</f>
        <v/>
      </c>
      <c r="G302">
        <f>IF($A302="","",C302+F302)</f>
        <v/>
      </c>
      <c r="H302">
        <f>IF($A302="","",SUMIFS(Contributions!E:E,Contributions!C:C,$B302,Contributions!F:F,"Reinvest",Contributions!G:G,$A302))</f>
        <v/>
      </c>
      <c r="I302">
        <f>IF($A302="","",G302-H302)</f>
        <v/>
      </c>
    </row>
    <row r="303">
      <c r="C303">
        <f>IF($A303="","",SUMIFS(Contributions!E:E,Contributions!B:B,$A303,Contributions!C:C,$B303))</f>
        <v/>
      </c>
      <c r="D303">
        <f>IF($A303="","",SUMIFS(Contributions!E:E,Contributions!B:B,$A303))</f>
        <v/>
      </c>
      <c r="E303">
        <f>IF($A303="","",XLOOKUP($A303,Returns!A:A,Returns!E:E))</f>
        <v/>
      </c>
      <c r="F303">
        <f>IF(OR($A303="",D303=0),"",C303/D303*E303)</f>
        <v/>
      </c>
      <c r="G303">
        <f>IF($A303="","",C303+F303)</f>
        <v/>
      </c>
      <c r="H303">
        <f>IF($A303="","",SUMIFS(Contributions!E:E,Contributions!C:C,$B303,Contributions!F:F,"Reinvest",Contributions!G:G,$A303))</f>
        <v/>
      </c>
      <c r="I303">
        <f>IF($A303="","",G303-H303)</f>
        <v/>
      </c>
    </row>
    <row r="304">
      <c r="C304">
        <f>IF($A304="","",SUMIFS(Contributions!E:E,Contributions!B:B,$A304,Contributions!C:C,$B304))</f>
        <v/>
      </c>
      <c r="D304">
        <f>IF($A304="","",SUMIFS(Contributions!E:E,Contributions!B:B,$A304))</f>
        <v/>
      </c>
      <c r="E304">
        <f>IF($A304="","",XLOOKUP($A304,Returns!A:A,Returns!E:E))</f>
        <v/>
      </c>
      <c r="F304">
        <f>IF(OR($A304="",D304=0),"",C304/D304*E304)</f>
        <v/>
      </c>
      <c r="G304">
        <f>IF($A304="","",C304+F304)</f>
        <v/>
      </c>
      <c r="H304">
        <f>IF($A304="","",SUMIFS(Contributions!E:E,Contributions!C:C,$B304,Contributions!F:F,"Reinvest",Contributions!G:G,$A304))</f>
        <v/>
      </c>
      <c r="I304">
        <f>IF($A304="","",G304-H304)</f>
        <v/>
      </c>
    </row>
    <row r="305">
      <c r="C305">
        <f>IF($A305="","",SUMIFS(Contributions!E:E,Contributions!B:B,$A305,Contributions!C:C,$B305))</f>
        <v/>
      </c>
      <c r="D305">
        <f>IF($A305="","",SUMIFS(Contributions!E:E,Contributions!B:B,$A305))</f>
        <v/>
      </c>
      <c r="E305">
        <f>IF($A305="","",XLOOKUP($A305,Returns!A:A,Returns!E:E))</f>
        <v/>
      </c>
      <c r="F305">
        <f>IF(OR($A305="",D305=0),"",C305/D305*E305)</f>
        <v/>
      </c>
      <c r="G305">
        <f>IF($A305="","",C305+F305)</f>
        <v/>
      </c>
      <c r="H305">
        <f>IF($A305="","",SUMIFS(Contributions!E:E,Contributions!C:C,$B305,Contributions!F:F,"Reinvest",Contributions!G:G,$A305))</f>
        <v/>
      </c>
      <c r="I305">
        <f>IF($A305="","",G305-H305)</f>
        <v/>
      </c>
    </row>
    <row r="306">
      <c r="C306">
        <f>IF($A306="","",SUMIFS(Contributions!E:E,Contributions!B:B,$A306,Contributions!C:C,$B306))</f>
        <v/>
      </c>
      <c r="D306">
        <f>IF($A306="","",SUMIFS(Contributions!E:E,Contributions!B:B,$A306))</f>
        <v/>
      </c>
      <c r="E306">
        <f>IF($A306="","",XLOOKUP($A306,Returns!A:A,Returns!E:E))</f>
        <v/>
      </c>
      <c r="F306">
        <f>IF(OR($A306="",D306=0),"",C306/D306*E306)</f>
        <v/>
      </c>
      <c r="G306">
        <f>IF($A306="","",C306+F306)</f>
        <v/>
      </c>
      <c r="H306">
        <f>IF($A306="","",SUMIFS(Contributions!E:E,Contributions!C:C,$B306,Contributions!F:F,"Reinvest",Contributions!G:G,$A306))</f>
        <v/>
      </c>
      <c r="I306">
        <f>IF($A306="","",G306-H306)</f>
        <v/>
      </c>
    </row>
    <row r="307">
      <c r="C307">
        <f>IF($A307="","",SUMIFS(Contributions!E:E,Contributions!B:B,$A307,Contributions!C:C,$B307))</f>
        <v/>
      </c>
      <c r="D307">
        <f>IF($A307="","",SUMIFS(Contributions!E:E,Contributions!B:B,$A307))</f>
        <v/>
      </c>
      <c r="E307">
        <f>IF($A307="","",XLOOKUP($A307,Returns!A:A,Returns!E:E))</f>
        <v/>
      </c>
      <c r="F307">
        <f>IF(OR($A307="",D307=0),"",C307/D307*E307)</f>
        <v/>
      </c>
      <c r="G307">
        <f>IF($A307="","",C307+F307)</f>
        <v/>
      </c>
      <c r="H307">
        <f>IF($A307="","",SUMIFS(Contributions!E:E,Contributions!C:C,$B307,Contributions!F:F,"Reinvest",Contributions!G:G,$A307))</f>
        <v/>
      </c>
      <c r="I307">
        <f>IF($A307="","",G307-H307)</f>
        <v/>
      </c>
    </row>
    <row r="308">
      <c r="C308">
        <f>IF($A308="","",SUMIFS(Contributions!E:E,Contributions!B:B,$A308,Contributions!C:C,$B308))</f>
        <v/>
      </c>
      <c r="D308">
        <f>IF($A308="","",SUMIFS(Contributions!E:E,Contributions!B:B,$A308))</f>
        <v/>
      </c>
      <c r="E308">
        <f>IF($A308="","",XLOOKUP($A308,Returns!A:A,Returns!E:E))</f>
        <v/>
      </c>
      <c r="F308">
        <f>IF(OR($A308="",D308=0),"",C308/D308*E308)</f>
        <v/>
      </c>
      <c r="G308">
        <f>IF($A308="","",C308+F308)</f>
        <v/>
      </c>
      <c r="H308">
        <f>IF($A308="","",SUMIFS(Contributions!E:E,Contributions!C:C,$B308,Contributions!F:F,"Reinvest",Contributions!G:G,$A308))</f>
        <v/>
      </c>
      <c r="I308">
        <f>IF($A308="","",G308-H308)</f>
        <v/>
      </c>
    </row>
    <row r="309">
      <c r="C309">
        <f>IF($A309="","",SUMIFS(Contributions!E:E,Contributions!B:B,$A309,Contributions!C:C,$B309))</f>
        <v/>
      </c>
      <c r="D309">
        <f>IF($A309="","",SUMIFS(Contributions!E:E,Contributions!B:B,$A309))</f>
        <v/>
      </c>
      <c r="E309">
        <f>IF($A309="","",XLOOKUP($A309,Returns!A:A,Returns!E:E))</f>
        <v/>
      </c>
      <c r="F309">
        <f>IF(OR($A309="",D309=0),"",C309/D309*E309)</f>
        <v/>
      </c>
      <c r="G309">
        <f>IF($A309="","",C309+F309)</f>
        <v/>
      </c>
      <c r="H309">
        <f>IF($A309="","",SUMIFS(Contributions!E:E,Contributions!C:C,$B309,Contributions!F:F,"Reinvest",Contributions!G:G,$A309))</f>
        <v/>
      </c>
      <c r="I309">
        <f>IF($A309="","",G309-H309)</f>
        <v/>
      </c>
    </row>
    <row r="310">
      <c r="C310">
        <f>IF($A310="","",SUMIFS(Contributions!E:E,Contributions!B:B,$A310,Contributions!C:C,$B310))</f>
        <v/>
      </c>
      <c r="D310">
        <f>IF($A310="","",SUMIFS(Contributions!E:E,Contributions!B:B,$A310))</f>
        <v/>
      </c>
      <c r="E310">
        <f>IF($A310="","",XLOOKUP($A310,Returns!A:A,Returns!E:E))</f>
        <v/>
      </c>
      <c r="F310">
        <f>IF(OR($A310="",D310=0),"",C310/D310*E310)</f>
        <v/>
      </c>
      <c r="G310">
        <f>IF($A310="","",C310+F310)</f>
        <v/>
      </c>
      <c r="H310">
        <f>IF($A310="","",SUMIFS(Contributions!E:E,Contributions!C:C,$B310,Contributions!F:F,"Reinvest",Contributions!G:G,$A310))</f>
        <v/>
      </c>
      <c r="I310">
        <f>IF($A310="","",G310-H310)</f>
        <v/>
      </c>
    </row>
    <row r="311">
      <c r="C311">
        <f>IF($A311="","",SUMIFS(Contributions!E:E,Contributions!B:B,$A311,Contributions!C:C,$B311))</f>
        <v/>
      </c>
      <c r="D311">
        <f>IF($A311="","",SUMIFS(Contributions!E:E,Contributions!B:B,$A311))</f>
        <v/>
      </c>
      <c r="E311">
        <f>IF($A311="","",XLOOKUP($A311,Returns!A:A,Returns!E:E))</f>
        <v/>
      </c>
      <c r="F311">
        <f>IF(OR($A311="",D311=0),"",C311/D311*E311)</f>
        <v/>
      </c>
      <c r="G311">
        <f>IF($A311="","",C311+F311)</f>
        <v/>
      </c>
      <c r="H311">
        <f>IF($A311="","",SUMIFS(Contributions!E:E,Contributions!C:C,$B311,Contributions!F:F,"Reinvest",Contributions!G:G,$A311))</f>
        <v/>
      </c>
      <c r="I311">
        <f>IF($A311="","",G311-H311)</f>
        <v/>
      </c>
    </row>
    <row r="312">
      <c r="C312">
        <f>IF($A312="","",SUMIFS(Contributions!E:E,Contributions!B:B,$A312,Contributions!C:C,$B312))</f>
        <v/>
      </c>
      <c r="D312">
        <f>IF($A312="","",SUMIFS(Contributions!E:E,Contributions!B:B,$A312))</f>
        <v/>
      </c>
      <c r="E312">
        <f>IF($A312="","",XLOOKUP($A312,Returns!A:A,Returns!E:E))</f>
        <v/>
      </c>
      <c r="F312">
        <f>IF(OR($A312="",D312=0),"",C312/D312*E312)</f>
        <v/>
      </c>
      <c r="G312">
        <f>IF($A312="","",C312+F312)</f>
        <v/>
      </c>
      <c r="H312">
        <f>IF($A312="","",SUMIFS(Contributions!E:E,Contributions!C:C,$B312,Contributions!F:F,"Reinvest",Contributions!G:G,$A312))</f>
        <v/>
      </c>
      <c r="I312">
        <f>IF($A312="","",G312-H312)</f>
        <v/>
      </c>
    </row>
    <row r="313">
      <c r="C313">
        <f>IF($A313="","",SUMIFS(Contributions!E:E,Contributions!B:B,$A313,Contributions!C:C,$B313))</f>
        <v/>
      </c>
      <c r="D313">
        <f>IF($A313="","",SUMIFS(Contributions!E:E,Contributions!B:B,$A313))</f>
        <v/>
      </c>
      <c r="E313">
        <f>IF($A313="","",XLOOKUP($A313,Returns!A:A,Returns!E:E))</f>
        <v/>
      </c>
      <c r="F313">
        <f>IF(OR($A313="",D313=0),"",C313/D313*E313)</f>
        <v/>
      </c>
      <c r="G313">
        <f>IF($A313="","",C313+F313)</f>
        <v/>
      </c>
      <c r="H313">
        <f>IF($A313="","",SUMIFS(Contributions!E:E,Contributions!C:C,$B313,Contributions!F:F,"Reinvest",Contributions!G:G,$A313))</f>
        <v/>
      </c>
      <c r="I313">
        <f>IF($A313="","",G313-H313)</f>
        <v/>
      </c>
    </row>
    <row r="314">
      <c r="C314">
        <f>IF($A314="","",SUMIFS(Contributions!E:E,Contributions!B:B,$A314,Contributions!C:C,$B314))</f>
        <v/>
      </c>
      <c r="D314">
        <f>IF($A314="","",SUMIFS(Contributions!E:E,Contributions!B:B,$A314))</f>
        <v/>
      </c>
      <c r="E314">
        <f>IF($A314="","",XLOOKUP($A314,Returns!A:A,Returns!E:E))</f>
        <v/>
      </c>
      <c r="F314">
        <f>IF(OR($A314="",D314=0),"",C314/D314*E314)</f>
        <v/>
      </c>
      <c r="G314">
        <f>IF($A314="","",C314+F314)</f>
        <v/>
      </c>
      <c r="H314">
        <f>IF($A314="","",SUMIFS(Contributions!E:E,Contributions!C:C,$B314,Contributions!F:F,"Reinvest",Contributions!G:G,$A314))</f>
        <v/>
      </c>
      <c r="I314">
        <f>IF($A314="","",G314-H314)</f>
        <v/>
      </c>
    </row>
    <row r="315">
      <c r="C315">
        <f>IF($A315="","",SUMIFS(Contributions!E:E,Contributions!B:B,$A315,Contributions!C:C,$B315))</f>
        <v/>
      </c>
      <c r="D315">
        <f>IF($A315="","",SUMIFS(Contributions!E:E,Contributions!B:B,$A315))</f>
        <v/>
      </c>
      <c r="E315">
        <f>IF($A315="","",XLOOKUP($A315,Returns!A:A,Returns!E:E))</f>
        <v/>
      </c>
      <c r="F315">
        <f>IF(OR($A315="",D315=0),"",C315/D315*E315)</f>
        <v/>
      </c>
      <c r="G315">
        <f>IF($A315="","",C315+F315)</f>
        <v/>
      </c>
      <c r="H315">
        <f>IF($A315="","",SUMIFS(Contributions!E:E,Contributions!C:C,$B315,Contributions!F:F,"Reinvest",Contributions!G:G,$A315))</f>
        <v/>
      </c>
      <c r="I315">
        <f>IF($A315="","",G315-H315)</f>
        <v/>
      </c>
    </row>
    <row r="316">
      <c r="C316">
        <f>IF($A316="","",SUMIFS(Contributions!E:E,Contributions!B:B,$A316,Contributions!C:C,$B316))</f>
        <v/>
      </c>
      <c r="D316">
        <f>IF($A316="","",SUMIFS(Contributions!E:E,Contributions!B:B,$A316))</f>
        <v/>
      </c>
      <c r="E316">
        <f>IF($A316="","",XLOOKUP($A316,Returns!A:A,Returns!E:E))</f>
        <v/>
      </c>
      <c r="F316">
        <f>IF(OR($A316="",D316=0),"",C316/D316*E316)</f>
        <v/>
      </c>
      <c r="G316">
        <f>IF($A316="","",C316+F316)</f>
        <v/>
      </c>
      <c r="H316">
        <f>IF($A316="","",SUMIFS(Contributions!E:E,Contributions!C:C,$B316,Contributions!F:F,"Reinvest",Contributions!G:G,$A316))</f>
        <v/>
      </c>
      <c r="I316">
        <f>IF($A316="","",G316-H316)</f>
        <v/>
      </c>
    </row>
    <row r="317">
      <c r="C317">
        <f>IF($A317="","",SUMIFS(Contributions!E:E,Contributions!B:B,$A317,Contributions!C:C,$B317))</f>
        <v/>
      </c>
      <c r="D317">
        <f>IF($A317="","",SUMIFS(Contributions!E:E,Contributions!B:B,$A317))</f>
        <v/>
      </c>
      <c r="E317">
        <f>IF($A317="","",XLOOKUP($A317,Returns!A:A,Returns!E:E))</f>
        <v/>
      </c>
      <c r="F317">
        <f>IF(OR($A317="",D317=0),"",C317/D317*E317)</f>
        <v/>
      </c>
      <c r="G317">
        <f>IF($A317="","",C317+F317)</f>
        <v/>
      </c>
      <c r="H317">
        <f>IF($A317="","",SUMIFS(Contributions!E:E,Contributions!C:C,$B317,Contributions!F:F,"Reinvest",Contributions!G:G,$A317))</f>
        <v/>
      </c>
      <c r="I317">
        <f>IF($A317="","",G317-H317)</f>
        <v/>
      </c>
    </row>
    <row r="318">
      <c r="C318">
        <f>IF($A318="","",SUMIFS(Contributions!E:E,Contributions!B:B,$A318,Contributions!C:C,$B318))</f>
        <v/>
      </c>
      <c r="D318">
        <f>IF($A318="","",SUMIFS(Contributions!E:E,Contributions!B:B,$A318))</f>
        <v/>
      </c>
      <c r="E318">
        <f>IF($A318="","",XLOOKUP($A318,Returns!A:A,Returns!E:E))</f>
        <v/>
      </c>
      <c r="F318">
        <f>IF(OR($A318="",D318=0),"",C318/D318*E318)</f>
        <v/>
      </c>
      <c r="G318">
        <f>IF($A318="","",C318+F318)</f>
        <v/>
      </c>
      <c r="H318">
        <f>IF($A318="","",SUMIFS(Contributions!E:E,Contributions!C:C,$B318,Contributions!F:F,"Reinvest",Contributions!G:G,$A318))</f>
        <v/>
      </c>
      <c r="I318">
        <f>IF($A318="","",G318-H318)</f>
        <v/>
      </c>
    </row>
    <row r="319">
      <c r="C319">
        <f>IF($A319="","",SUMIFS(Contributions!E:E,Contributions!B:B,$A319,Contributions!C:C,$B319))</f>
        <v/>
      </c>
      <c r="D319">
        <f>IF($A319="","",SUMIFS(Contributions!E:E,Contributions!B:B,$A319))</f>
        <v/>
      </c>
      <c r="E319">
        <f>IF($A319="","",XLOOKUP($A319,Returns!A:A,Returns!E:E))</f>
        <v/>
      </c>
      <c r="F319">
        <f>IF(OR($A319="",D319=0),"",C319/D319*E319)</f>
        <v/>
      </c>
      <c r="G319">
        <f>IF($A319="","",C319+F319)</f>
        <v/>
      </c>
      <c r="H319">
        <f>IF($A319="","",SUMIFS(Contributions!E:E,Contributions!C:C,$B319,Contributions!F:F,"Reinvest",Contributions!G:G,$A319))</f>
        <v/>
      </c>
      <c r="I319">
        <f>IF($A319="","",G319-H319)</f>
        <v/>
      </c>
    </row>
    <row r="320">
      <c r="C320">
        <f>IF($A320="","",SUMIFS(Contributions!E:E,Contributions!B:B,$A320,Contributions!C:C,$B320))</f>
        <v/>
      </c>
      <c r="D320">
        <f>IF($A320="","",SUMIFS(Contributions!E:E,Contributions!B:B,$A320))</f>
        <v/>
      </c>
      <c r="E320">
        <f>IF($A320="","",XLOOKUP($A320,Returns!A:A,Returns!E:E))</f>
        <v/>
      </c>
      <c r="F320">
        <f>IF(OR($A320="",D320=0),"",C320/D320*E320)</f>
        <v/>
      </c>
      <c r="G320">
        <f>IF($A320="","",C320+F320)</f>
        <v/>
      </c>
      <c r="H320">
        <f>IF($A320="","",SUMIFS(Contributions!E:E,Contributions!C:C,$B320,Contributions!F:F,"Reinvest",Contributions!G:G,$A320))</f>
        <v/>
      </c>
      <c r="I320">
        <f>IF($A320="","",G320-H320)</f>
        <v/>
      </c>
    </row>
    <row r="321">
      <c r="C321">
        <f>IF($A321="","",SUMIFS(Contributions!E:E,Contributions!B:B,$A321,Contributions!C:C,$B321))</f>
        <v/>
      </c>
      <c r="D321">
        <f>IF($A321="","",SUMIFS(Contributions!E:E,Contributions!B:B,$A321))</f>
        <v/>
      </c>
      <c r="E321">
        <f>IF($A321="","",XLOOKUP($A321,Returns!A:A,Returns!E:E))</f>
        <v/>
      </c>
      <c r="F321">
        <f>IF(OR($A321="",D321=0),"",C321/D321*E321)</f>
        <v/>
      </c>
      <c r="G321">
        <f>IF($A321="","",C321+F321)</f>
        <v/>
      </c>
      <c r="H321">
        <f>IF($A321="","",SUMIFS(Contributions!E:E,Contributions!C:C,$B321,Contributions!F:F,"Reinvest",Contributions!G:G,$A321))</f>
        <v/>
      </c>
      <c r="I321">
        <f>IF($A321="","",G321-H321)</f>
        <v/>
      </c>
    </row>
    <row r="322">
      <c r="C322">
        <f>IF($A322="","",SUMIFS(Contributions!E:E,Contributions!B:B,$A322,Contributions!C:C,$B322))</f>
        <v/>
      </c>
      <c r="D322">
        <f>IF($A322="","",SUMIFS(Contributions!E:E,Contributions!B:B,$A322))</f>
        <v/>
      </c>
      <c r="E322">
        <f>IF($A322="","",XLOOKUP($A322,Returns!A:A,Returns!E:E))</f>
        <v/>
      </c>
      <c r="F322">
        <f>IF(OR($A322="",D322=0),"",C322/D322*E322)</f>
        <v/>
      </c>
      <c r="G322">
        <f>IF($A322="","",C322+F322)</f>
        <v/>
      </c>
      <c r="H322">
        <f>IF($A322="","",SUMIFS(Contributions!E:E,Contributions!C:C,$B322,Contributions!F:F,"Reinvest",Contributions!G:G,$A322))</f>
        <v/>
      </c>
      <c r="I322">
        <f>IF($A322="","",G322-H322)</f>
        <v/>
      </c>
    </row>
    <row r="323">
      <c r="C323">
        <f>IF($A323="","",SUMIFS(Contributions!E:E,Contributions!B:B,$A323,Contributions!C:C,$B323))</f>
        <v/>
      </c>
      <c r="D323">
        <f>IF($A323="","",SUMIFS(Contributions!E:E,Contributions!B:B,$A323))</f>
        <v/>
      </c>
      <c r="E323">
        <f>IF($A323="","",XLOOKUP($A323,Returns!A:A,Returns!E:E))</f>
        <v/>
      </c>
      <c r="F323">
        <f>IF(OR($A323="",D323=0),"",C323/D323*E323)</f>
        <v/>
      </c>
      <c r="G323">
        <f>IF($A323="","",C323+F323)</f>
        <v/>
      </c>
      <c r="H323">
        <f>IF($A323="","",SUMIFS(Contributions!E:E,Contributions!C:C,$B323,Contributions!F:F,"Reinvest",Contributions!G:G,$A323))</f>
        <v/>
      </c>
      <c r="I323">
        <f>IF($A323="","",G323-H323)</f>
        <v/>
      </c>
    </row>
    <row r="324">
      <c r="C324">
        <f>IF($A324="","",SUMIFS(Contributions!E:E,Contributions!B:B,$A324,Contributions!C:C,$B324))</f>
        <v/>
      </c>
      <c r="D324">
        <f>IF($A324="","",SUMIFS(Contributions!E:E,Contributions!B:B,$A324))</f>
        <v/>
      </c>
      <c r="E324">
        <f>IF($A324="","",XLOOKUP($A324,Returns!A:A,Returns!E:E))</f>
        <v/>
      </c>
      <c r="F324">
        <f>IF(OR($A324="",D324=0),"",C324/D324*E324)</f>
        <v/>
      </c>
      <c r="G324">
        <f>IF($A324="","",C324+F324)</f>
        <v/>
      </c>
      <c r="H324">
        <f>IF($A324="","",SUMIFS(Contributions!E:E,Contributions!C:C,$B324,Contributions!F:F,"Reinvest",Contributions!G:G,$A324))</f>
        <v/>
      </c>
      <c r="I324">
        <f>IF($A324="","",G324-H324)</f>
        <v/>
      </c>
    </row>
    <row r="325">
      <c r="C325">
        <f>IF($A325="","",SUMIFS(Contributions!E:E,Contributions!B:B,$A325,Contributions!C:C,$B325))</f>
        <v/>
      </c>
      <c r="D325">
        <f>IF($A325="","",SUMIFS(Contributions!E:E,Contributions!B:B,$A325))</f>
        <v/>
      </c>
      <c r="E325">
        <f>IF($A325="","",XLOOKUP($A325,Returns!A:A,Returns!E:E))</f>
        <v/>
      </c>
      <c r="F325">
        <f>IF(OR($A325="",D325=0),"",C325/D325*E325)</f>
        <v/>
      </c>
      <c r="G325">
        <f>IF($A325="","",C325+F325)</f>
        <v/>
      </c>
      <c r="H325">
        <f>IF($A325="","",SUMIFS(Contributions!E:E,Contributions!C:C,$B325,Contributions!F:F,"Reinvest",Contributions!G:G,$A325))</f>
        <v/>
      </c>
      <c r="I325">
        <f>IF($A325="","",G325-H325)</f>
        <v/>
      </c>
    </row>
    <row r="326">
      <c r="C326">
        <f>IF($A326="","",SUMIFS(Contributions!E:E,Contributions!B:B,$A326,Contributions!C:C,$B326))</f>
        <v/>
      </c>
      <c r="D326">
        <f>IF($A326="","",SUMIFS(Contributions!E:E,Contributions!B:B,$A326))</f>
        <v/>
      </c>
      <c r="E326">
        <f>IF($A326="","",XLOOKUP($A326,Returns!A:A,Returns!E:E))</f>
        <v/>
      </c>
      <c r="F326">
        <f>IF(OR($A326="",D326=0),"",C326/D326*E326)</f>
        <v/>
      </c>
      <c r="G326">
        <f>IF($A326="","",C326+F326)</f>
        <v/>
      </c>
      <c r="H326">
        <f>IF($A326="","",SUMIFS(Contributions!E:E,Contributions!C:C,$B326,Contributions!F:F,"Reinvest",Contributions!G:G,$A326))</f>
        <v/>
      </c>
      <c r="I326">
        <f>IF($A326="","",G326-H326)</f>
        <v/>
      </c>
    </row>
    <row r="327">
      <c r="C327">
        <f>IF($A327="","",SUMIFS(Contributions!E:E,Contributions!B:B,$A327,Contributions!C:C,$B327))</f>
        <v/>
      </c>
      <c r="D327">
        <f>IF($A327="","",SUMIFS(Contributions!E:E,Contributions!B:B,$A327))</f>
        <v/>
      </c>
      <c r="E327">
        <f>IF($A327="","",XLOOKUP($A327,Returns!A:A,Returns!E:E))</f>
        <v/>
      </c>
      <c r="F327">
        <f>IF(OR($A327="",D327=0),"",C327/D327*E327)</f>
        <v/>
      </c>
      <c r="G327">
        <f>IF($A327="","",C327+F327)</f>
        <v/>
      </c>
      <c r="H327">
        <f>IF($A327="","",SUMIFS(Contributions!E:E,Contributions!C:C,$B327,Contributions!F:F,"Reinvest",Contributions!G:G,$A327))</f>
        <v/>
      </c>
      <c r="I327">
        <f>IF($A327="","",G327-H327)</f>
        <v/>
      </c>
    </row>
    <row r="328">
      <c r="C328">
        <f>IF($A328="","",SUMIFS(Contributions!E:E,Contributions!B:B,$A328,Contributions!C:C,$B328))</f>
        <v/>
      </c>
      <c r="D328">
        <f>IF($A328="","",SUMIFS(Contributions!E:E,Contributions!B:B,$A328))</f>
        <v/>
      </c>
      <c r="E328">
        <f>IF($A328="","",XLOOKUP($A328,Returns!A:A,Returns!E:E))</f>
        <v/>
      </c>
      <c r="F328">
        <f>IF(OR($A328="",D328=0),"",C328/D328*E328)</f>
        <v/>
      </c>
      <c r="G328">
        <f>IF($A328="","",C328+F328)</f>
        <v/>
      </c>
      <c r="H328">
        <f>IF($A328="","",SUMIFS(Contributions!E:E,Contributions!C:C,$B328,Contributions!F:F,"Reinvest",Contributions!G:G,$A328))</f>
        <v/>
      </c>
      <c r="I328">
        <f>IF($A328="","",G328-H328)</f>
        <v/>
      </c>
    </row>
    <row r="329">
      <c r="C329">
        <f>IF($A329="","",SUMIFS(Contributions!E:E,Contributions!B:B,$A329,Contributions!C:C,$B329))</f>
        <v/>
      </c>
      <c r="D329">
        <f>IF($A329="","",SUMIFS(Contributions!E:E,Contributions!B:B,$A329))</f>
        <v/>
      </c>
      <c r="E329">
        <f>IF($A329="","",XLOOKUP($A329,Returns!A:A,Returns!E:E))</f>
        <v/>
      </c>
      <c r="F329">
        <f>IF(OR($A329="",D329=0),"",C329/D329*E329)</f>
        <v/>
      </c>
      <c r="G329">
        <f>IF($A329="","",C329+F329)</f>
        <v/>
      </c>
      <c r="H329">
        <f>IF($A329="","",SUMIFS(Contributions!E:E,Contributions!C:C,$B329,Contributions!F:F,"Reinvest",Contributions!G:G,$A329))</f>
        <v/>
      </c>
      <c r="I329">
        <f>IF($A329="","",G329-H329)</f>
        <v/>
      </c>
    </row>
    <row r="330">
      <c r="C330">
        <f>IF($A330="","",SUMIFS(Contributions!E:E,Contributions!B:B,$A330,Contributions!C:C,$B330))</f>
        <v/>
      </c>
      <c r="D330">
        <f>IF($A330="","",SUMIFS(Contributions!E:E,Contributions!B:B,$A330))</f>
        <v/>
      </c>
      <c r="E330">
        <f>IF($A330="","",XLOOKUP($A330,Returns!A:A,Returns!E:E))</f>
        <v/>
      </c>
      <c r="F330">
        <f>IF(OR($A330="",D330=0),"",C330/D330*E330)</f>
        <v/>
      </c>
      <c r="G330">
        <f>IF($A330="","",C330+F330)</f>
        <v/>
      </c>
      <c r="H330">
        <f>IF($A330="","",SUMIFS(Contributions!E:E,Contributions!C:C,$B330,Contributions!F:F,"Reinvest",Contributions!G:G,$A330))</f>
        <v/>
      </c>
      <c r="I330">
        <f>IF($A330="","",G330-H330)</f>
        <v/>
      </c>
    </row>
    <row r="331">
      <c r="C331">
        <f>IF($A331="","",SUMIFS(Contributions!E:E,Contributions!B:B,$A331,Contributions!C:C,$B331))</f>
        <v/>
      </c>
      <c r="D331">
        <f>IF($A331="","",SUMIFS(Contributions!E:E,Contributions!B:B,$A331))</f>
        <v/>
      </c>
      <c r="E331">
        <f>IF($A331="","",XLOOKUP($A331,Returns!A:A,Returns!E:E))</f>
        <v/>
      </c>
      <c r="F331">
        <f>IF(OR($A331="",D331=0),"",C331/D331*E331)</f>
        <v/>
      </c>
      <c r="G331">
        <f>IF($A331="","",C331+F331)</f>
        <v/>
      </c>
      <c r="H331">
        <f>IF($A331="","",SUMIFS(Contributions!E:E,Contributions!C:C,$B331,Contributions!F:F,"Reinvest",Contributions!G:G,$A331))</f>
        <v/>
      </c>
      <c r="I331">
        <f>IF($A331="","",G331-H331)</f>
        <v/>
      </c>
    </row>
    <row r="332">
      <c r="C332">
        <f>IF($A332="","",SUMIFS(Contributions!E:E,Contributions!B:B,$A332,Contributions!C:C,$B332))</f>
        <v/>
      </c>
      <c r="D332">
        <f>IF($A332="","",SUMIFS(Contributions!E:E,Contributions!B:B,$A332))</f>
        <v/>
      </c>
      <c r="E332">
        <f>IF($A332="","",XLOOKUP($A332,Returns!A:A,Returns!E:E))</f>
        <v/>
      </c>
      <c r="F332">
        <f>IF(OR($A332="",D332=0),"",C332/D332*E332)</f>
        <v/>
      </c>
      <c r="G332">
        <f>IF($A332="","",C332+F332)</f>
        <v/>
      </c>
      <c r="H332">
        <f>IF($A332="","",SUMIFS(Contributions!E:E,Contributions!C:C,$B332,Contributions!F:F,"Reinvest",Contributions!G:G,$A332))</f>
        <v/>
      </c>
      <c r="I332">
        <f>IF($A332="","",G332-H332)</f>
        <v/>
      </c>
    </row>
    <row r="333">
      <c r="C333">
        <f>IF($A333="","",SUMIFS(Contributions!E:E,Contributions!B:B,$A333,Contributions!C:C,$B333))</f>
        <v/>
      </c>
      <c r="D333">
        <f>IF($A333="","",SUMIFS(Contributions!E:E,Contributions!B:B,$A333))</f>
        <v/>
      </c>
      <c r="E333">
        <f>IF($A333="","",XLOOKUP($A333,Returns!A:A,Returns!E:E))</f>
        <v/>
      </c>
      <c r="F333">
        <f>IF(OR($A333="",D333=0),"",C333/D333*E333)</f>
        <v/>
      </c>
      <c r="G333">
        <f>IF($A333="","",C333+F333)</f>
        <v/>
      </c>
      <c r="H333">
        <f>IF($A333="","",SUMIFS(Contributions!E:E,Contributions!C:C,$B333,Contributions!F:F,"Reinvest",Contributions!G:G,$A333))</f>
        <v/>
      </c>
      <c r="I333">
        <f>IF($A333="","",G333-H333)</f>
        <v/>
      </c>
    </row>
    <row r="334">
      <c r="C334">
        <f>IF($A334="","",SUMIFS(Contributions!E:E,Contributions!B:B,$A334,Contributions!C:C,$B334))</f>
        <v/>
      </c>
      <c r="D334">
        <f>IF($A334="","",SUMIFS(Contributions!E:E,Contributions!B:B,$A334))</f>
        <v/>
      </c>
      <c r="E334">
        <f>IF($A334="","",XLOOKUP($A334,Returns!A:A,Returns!E:E))</f>
        <v/>
      </c>
      <c r="F334">
        <f>IF(OR($A334="",D334=0),"",C334/D334*E334)</f>
        <v/>
      </c>
      <c r="G334">
        <f>IF($A334="","",C334+F334)</f>
        <v/>
      </c>
      <c r="H334">
        <f>IF($A334="","",SUMIFS(Contributions!E:E,Contributions!C:C,$B334,Contributions!F:F,"Reinvest",Contributions!G:G,$A334))</f>
        <v/>
      </c>
      <c r="I334">
        <f>IF($A334="","",G334-H334)</f>
        <v/>
      </c>
    </row>
    <row r="335">
      <c r="C335">
        <f>IF($A335="","",SUMIFS(Contributions!E:E,Contributions!B:B,$A335,Contributions!C:C,$B335))</f>
        <v/>
      </c>
      <c r="D335">
        <f>IF($A335="","",SUMIFS(Contributions!E:E,Contributions!B:B,$A335))</f>
        <v/>
      </c>
      <c r="E335">
        <f>IF($A335="","",XLOOKUP($A335,Returns!A:A,Returns!E:E))</f>
        <v/>
      </c>
      <c r="F335">
        <f>IF(OR($A335="",D335=0),"",C335/D335*E335)</f>
        <v/>
      </c>
      <c r="G335">
        <f>IF($A335="","",C335+F335)</f>
        <v/>
      </c>
      <c r="H335">
        <f>IF($A335="","",SUMIFS(Contributions!E:E,Contributions!C:C,$B335,Contributions!F:F,"Reinvest",Contributions!G:G,$A335))</f>
        <v/>
      </c>
      <c r="I335">
        <f>IF($A335="","",G335-H335)</f>
        <v/>
      </c>
    </row>
    <row r="336">
      <c r="C336">
        <f>IF($A336="","",SUMIFS(Contributions!E:E,Contributions!B:B,$A336,Contributions!C:C,$B336))</f>
        <v/>
      </c>
      <c r="D336">
        <f>IF($A336="","",SUMIFS(Contributions!E:E,Contributions!B:B,$A336))</f>
        <v/>
      </c>
      <c r="E336">
        <f>IF($A336="","",XLOOKUP($A336,Returns!A:A,Returns!E:E))</f>
        <v/>
      </c>
      <c r="F336">
        <f>IF(OR($A336="",D336=0),"",C336/D336*E336)</f>
        <v/>
      </c>
      <c r="G336">
        <f>IF($A336="","",C336+F336)</f>
        <v/>
      </c>
      <c r="H336">
        <f>IF($A336="","",SUMIFS(Contributions!E:E,Contributions!C:C,$B336,Contributions!F:F,"Reinvest",Contributions!G:G,$A336))</f>
        <v/>
      </c>
      <c r="I336">
        <f>IF($A336="","",G336-H336)</f>
        <v/>
      </c>
    </row>
    <row r="337">
      <c r="C337">
        <f>IF($A337="","",SUMIFS(Contributions!E:E,Contributions!B:B,$A337,Contributions!C:C,$B337))</f>
        <v/>
      </c>
      <c r="D337">
        <f>IF($A337="","",SUMIFS(Contributions!E:E,Contributions!B:B,$A337))</f>
        <v/>
      </c>
      <c r="E337">
        <f>IF($A337="","",XLOOKUP($A337,Returns!A:A,Returns!E:E))</f>
        <v/>
      </c>
      <c r="F337">
        <f>IF(OR($A337="",D337=0),"",C337/D337*E337)</f>
        <v/>
      </c>
      <c r="G337">
        <f>IF($A337="","",C337+F337)</f>
        <v/>
      </c>
      <c r="H337">
        <f>IF($A337="","",SUMIFS(Contributions!E:E,Contributions!C:C,$B337,Contributions!F:F,"Reinvest",Contributions!G:G,$A337))</f>
        <v/>
      </c>
      <c r="I337">
        <f>IF($A337="","",G337-H337)</f>
        <v/>
      </c>
    </row>
    <row r="338">
      <c r="C338">
        <f>IF($A338="","",SUMIFS(Contributions!E:E,Contributions!B:B,$A338,Contributions!C:C,$B338))</f>
        <v/>
      </c>
      <c r="D338">
        <f>IF($A338="","",SUMIFS(Contributions!E:E,Contributions!B:B,$A338))</f>
        <v/>
      </c>
      <c r="E338">
        <f>IF($A338="","",XLOOKUP($A338,Returns!A:A,Returns!E:E))</f>
        <v/>
      </c>
      <c r="F338">
        <f>IF(OR($A338="",D338=0),"",C338/D338*E338)</f>
        <v/>
      </c>
      <c r="G338">
        <f>IF($A338="","",C338+F338)</f>
        <v/>
      </c>
      <c r="H338">
        <f>IF($A338="","",SUMIFS(Contributions!E:E,Contributions!C:C,$B338,Contributions!F:F,"Reinvest",Contributions!G:G,$A338))</f>
        <v/>
      </c>
      <c r="I338">
        <f>IF($A338="","",G338-H338)</f>
        <v/>
      </c>
    </row>
    <row r="339">
      <c r="C339">
        <f>IF($A339="","",SUMIFS(Contributions!E:E,Contributions!B:B,$A339,Contributions!C:C,$B339))</f>
        <v/>
      </c>
      <c r="D339">
        <f>IF($A339="","",SUMIFS(Contributions!E:E,Contributions!B:B,$A339))</f>
        <v/>
      </c>
      <c r="E339">
        <f>IF($A339="","",XLOOKUP($A339,Returns!A:A,Returns!E:E))</f>
        <v/>
      </c>
      <c r="F339">
        <f>IF(OR($A339="",D339=0),"",C339/D339*E339)</f>
        <v/>
      </c>
      <c r="G339">
        <f>IF($A339="","",C339+F339)</f>
        <v/>
      </c>
      <c r="H339">
        <f>IF($A339="","",SUMIFS(Contributions!E:E,Contributions!C:C,$B339,Contributions!F:F,"Reinvest",Contributions!G:G,$A339))</f>
        <v/>
      </c>
      <c r="I339">
        <f>IF($A339="","",G339-H339)</f>
        <v/>
      </c>
    </row>
    <row r="340">
      <c r="C340">
        <f>IF($A340="","",SUMIFS(Contributions!E:E,Contributions!B:B,$A340,Contributions!C:C,$B340))</f>
        <v/>
      </c>
      <c r="D340">
        <f>IF($A340="","",SUMIFS(Contributions!E:E,Contributions!B:B,$A340))</f>
        <v/>
      </c>
      <c r="E340">
        <f>IF($A340="","",XLOOKUP($A340,Returns!A:A,Returns!E:E))</f>
        <v/>
      </c>
      <c r="F340">
        <f>IF(OR($A340="",D340=0),"",C340/D340*E340)</f>
        <v/>
      </c>
      <c r="G340">
        <f>IF($A340="","",C340+F340)</f>
        <v/>
      </c>
      <c r="H340">
        <f>IF($A340="","",SUMIFS(Contributions!E:E,Contributions!C:C,$B340,Contributions!F:F,"Reinvest",Contributions!G:G,$A340))</f>
        <v/>
      </c>
      <c r="I340">
        <f>IF($A340="","",G340-H340)</f>
        <v/>
      </c>
    </row>
    <row r="341">
      <c r="C341">
        <f>IF($A341="","",SUMIFS(Contributions!E:E,Contributions!B:B,$A341,Contributions!C:C,$B341))</f>
        <v/>
      </c>
      <c r="D341">
        <f>IF($A341="","",SUMIFS(Contributions!E:E,Contributions!B:B,$A341))</f>
        <v/>
      </c>
      <c r="E341">
        <f>IF($A341="","",XLOOKUP($A341,Returns!A:A,Returns!E:E))</f>
        <v/>
      </c>
      <c r="F341">
        <f>IF(OR($A341="",D341=0),"",C341/D341*E341)</f>
        <v/>
      </c>
      <c r="G341">
        <f>IF($A341="","",C341+F341)</f>
        <v/>
      </c>
      <c r="H341">
        <f>IF($A341="","",SUMIFS(Contributions!E:E,Contributions!C:C,$B341,Contributions!F:F,"Reinvest",Contributions!G:G,$A341))</f>
        <v/>
      </c>
      <c r="I341">
        <f>IF($A341="","",G341-H341)</f>
        <v/>
      </c>
    </row>
    <row r="342">
      <c r="C342">
        <f>IF($A342="","",SUMIFS(Contributions!E:E,Contributions!B:B,$A342,Contributions!C:C,$B342))</f>
        <v/>
      </c>
      <c r="D342">
        <f>IF($A342="","",SUMIFS(Contributions!E:E,Contributions!B:B,$A342))</f>
        <v/>
      </c>
      <c r="E342">
        <f>IF($A342="","",XLOOKUP($A342,Returns!A:A,Returns!E:E))</f>
        <v/>
      </c>
      <c r="F342">
        <f>IF(OR($A342="",D342=0),"",C342/D342*E342)</f>
        <v/>
      </c>
      <c r="G342">
        <f>IF($A342="","",C342+F342)</f>
        <v/>
      </c>
      <c r="H342">
        <f>IF($A342="","",SUMIFS(Contributions!E:E,Contributions!C:C,$B342,Contributions!F:F,"Reinvest",Contributions!G:G,$A342))</f>
        <v/>
      </c>
      <c r="I342">
        <f>IF($A342="","",G342-H342)</f>
        <v/>
      </c>
    </row>
    <row r="343">
      <c r="C343">
        <f>IF($A343="","",SUMIFS(Contributions!E:E,Contributions!B:B,$A343,Contributions!C:C,$B343))</f>
        <v/>
      </c>
      <c r="D343">
        <f>IF($A343="","",SUMIFS(Contributions!E:E,Contributions!B:B,$A343))</f>
        <v/>
      </c>
      <c r="E343">
        <f>IF($A343="","",XLOOKUP($A343,Returns!A:A,Returns!E:E))</f>
        <v/>
      </c>
      <c r="F343">
        <f>IF(OR($A343="",D343=0),"",C343/D343*E343)</f>
        <v/>
      </c>
      <c r="G343">
        <f>IF($A343="","",C343+F343)</f>
        <v/>
      </c>
      <c r="H343">
        <f>IF($A343="","",SUMIFS(Contributions!E:E,Contributions!C:C,$B343,Contributions!F:F,"Reinvest",Contributions!G:G,$A343))</f>
        <v/>
      </c>
      <c r="I343">
        <f>IF($A343="","",G343-H343)</f>
        <v/>
      </c>
    </row>
    <row r="344">
      <c r="C344">
        <f>IF($A344="","",SUMIFS(Contributions!E:E,Contributions!B:B,$A344,Contributions!C:C,$B344))</f>
        <v/>
      </c>
      <c r="D344">
        <f>IF($A344="","",SUMIFS(Contributions!E:E,Contributions!B:B,$A344))</f>
        <v/>
      </c>
      <c r="E344">
        <f>IF($A344="","",XLOOKUP($A344,Returns!A:A,Returns!E:E))</f>
        <v/>
      </c>
      <c r="F344">
        <f>IF(OR($A344="",D344=0),"",C344/D344*E344)</f>
        <v/>
      </c>
      <c r="G344">
        <f>IF($A344="","",C344+F344)</f>
        <v/>
      </c>
      <c r="H344">
        <f>IF($A344="","",SUMIFS(Contributions!E:E,Contributions!C:C,$B344,Contributions!F:F,"Reinvest",Contributions!G:G,$A344))</f>
        <v/>
      </c>
      <c r="I344">
        <f>IF($A344="","",G344-H344)</f>
        <v/>
      </c>
    </row>
    <row r="345">
      <c r="C345">
        <f>IF($A345="","",SUMIFS(Contributions!E:E,Contributions!B:B,$A345,Contributions!C:C,$B345))</f>
        <v/>
      </c>
      <c r="D345">
        <f>IF($A345="","",SUMIFS(Contributions!E:E,Contributions!B:B,$A345))</f>
        <v/>
      </c>
      <c r="E345">
        <f>IF($A345="","",XLOOKUP($A345,Returns!A:A,Returns!E:E))</f>
        <v/>
      </c>
      <c r="F345">
        <f>IF(OR($A345="",D345=0),"",C345/D345*E345)</f>
        <v/>
      </c>
      <c r="G345">
        <f>IF($A345="","",C345+F345)</f>
        <v/>
      </c>
      <c r="H345">
        <f>IF($A345="","",SUMIFS(Contributions!E:E,Contributions!C:C,$B345,Contributions!F:F,"Reinvest",Contributions!G:G,$A345))</f>
        <v/>
      </c>
      <c r="I345">
        <f>IF($A345="","",G345-H345)</f>
        <v/>
      </c>
    </row>
    <row r="346">
      <c r="C346">
        <f>IF($A346="","",SUMIFS(Contributions!E:E,Contributions!B:B,$A346,Contributions!C:C,$B346))</f>
        <v/>
      </c>
      <c r="D346">
        <f>IF($A346="","",SUMIFS(Contributions!E:E,Contributions!B:B,$A346))</f>
        <v/>
      </c>
      <c r="E346">
        <f>IF($A346="","",XLOOKUP($A346,Returns!A:A,Returns!E:E))</f>
        <v/>
      </c>
      <c r="F346">
        <f>IF(OR($A346="",D346=0),"",C346/D346*E346)</f>
        <v/>
      </c>
      <c r="G346">
        <f>IF($A346="","",C346+F346)</f>
        <v/>
      </c>
      <c r="H346">
        <f>IF($A346="","",SUMIFS(Contributions!E:E,Contributions!C:C,$B346,Contributions!F:F,"Reinvest",Contributions!G:G,$A346))</f>
        <v/>
      </c>
      <c r="I346">
        <f>IF($A346="","",G346-H346)</f>
        <v/>
      </c>
    </row>
    <row r="347">
      <c r="C347">
        <f>IF($A347="","",SUMIFS(Contributions!E:E,Contributions!B:B,$A347,Contributions!C:C,$B347))</f>
        <v/>
      </c>
      <c r="D347">
        <f>IF($A347="","",SUMIFS(Contributions!E:E,Contributions!B:B,$A347))</f>
        <v/>
      </c>
      <c r="E347">
        <f>IF($A347="","",XLOOKUP($A347,Returns!A:A,Returns!E:E))</f>
        <v/>
      </c>
      <c r="F347">
        <f>IF(OR($A347="",D347=0),"",C347/D347*E347)</f>
        <v/>
      </c>
      <c r="G347">
        <f>IF($A347="","",C347+F347)</f>
        <v/>
      </c>
      <c r="H347">
        <f>IF($A347="","",SUMIFS(Contributions!E:E,Contributions!C:C,$B347,Contributions!F:F,"Reinvest",Contributions!G:G,$A347))</f>
        <v/>
      </c>
      <c r="I347">
        <f>IF($A347="","",G347-H347)</f>
        <v/>
      </c>
    </row>
    <row r="348">
      <c r="C348">
        <f>IF($A348="","",SUMIFS(Contributions!E:E,Contributions!B:B,$A348,Contributions!C:C,$B348))</f>
        <v/>
      </c>
      <c r="D348">
        <f>IF($A348="","",SUMIFS(Contributions!E:E,Contributions!B:B,$A348))</f>
        <v/>
      </c>
      <c r="E348">
        <f>IF($A348="","",XLOOKUP($A348,Returns!A:A,Returns!E:E))</f>
        <v/>
      </c>
      <c r="F348">
        <f>IF(OR($A348="",D348=0),"",C348/D348*E348)</f>
        <v/>
      </c>
      <c r="G348">
        <f>IF($A348="","",C348+F348)</f>
        <v/>
      </c>
      <c r="H348">
        <f>IF($A348="","",SUMIFS(Contributions!E:E,Contributions!C:C,$B348,Contributions!F:F,"Reinvest",Contributions!G:G,$A348))</f>
        <v/>
      </c>
      <c r="I348">
        <f>IF($A348="","",G348-H348)</f>
        <v/>
      </c>
    </row>
    <row r="349">
      <c r="C349">
        <f>IF($A349="","",SUMIFS(Contributions!E:E,Contributions!B:B,$A349,Contributions!C:C,$B349))</f>
        <v/>
      </c>
      <c r="D349">
        <f>IF($A349="","",SUMIFS(Contributions!E:E,Contributions!B:B,$A349))</f>
        <v/>
      </c>
      <c r="E349">
        <f>IF($A349="","",XLOOKUP($A349,Returns!A:A,Returns!E:E))</f>
        <v/>
      </c>
      <c r="F349">
        <f>IF(OR($A349="",D349=0),"",C349/D349*E349)</f>
        <v/>
      </c>
      <c r="G349">
        <f>IF($A349="","",C349+F349)</f>
        <v/>
      </c>
      <c r="H349">
        <f>IF($A349="","",SUMIFS(Contributions!E:E,Contributions!C:C,$B349,Contributions!F:F,"Reinvest",Contributions!G:G,$A349))</f>
        <v/>
      </c>
      <c r="I349">
        <f>IF($A349="","",G349-H349)</f>
        <v/>
      </c>
    </row>
    <row r="350">
      <c r="C350">
        <f>IF($A350="","",SUMIFS(Contributions!E:E,Contributions!B:B,$A350,Contributions!C:C,$B350))</f>
        <v/>
      </c>
      <c r="D350">
        <f>IF($A350="","",SUMIFS(Contributions!E:E,Contributions!B:B,$A350))</f>
        <v/>
      </c>
      <c r="E350">
        <f>IF($A350="","",XLOOKUP($A350,Returns!A:A,Returns!E:E))</f>
        <v/>
      </c>
      <c r="F350">
        <f>IF(OR($A350="",D350=0),"",C350/D350*E350)</f>
        <v/>
      </c>
      <c r="G350">
        <f>IF($A350="","",C350+F350)</f>
        <v/>
      </c>
      <c r="H350">
        <f>IF($A350="","",SUMIFS(Contributions!E:E,Contributions!C:C,$B350,Contributions!F:F,"Reinvest",Contributions!G:G,$A350))</f>
        <v/>
      </c>
      <c r="I350">
        <f>IF($A350="","",G350-H350)</f>
        <v/>
      </c>
    </row>
    <row r="351">
      <c r="C351">
        <f>IF($A351="","",SUMIFS(Contributions!E:E,Contributions!B:B,$A351,Contributions!C:C,$B351))</f>
        <v/>
      </c>
      <c r="D351">
        <f>IF($A351="","",SUMIFS(Contributions!E:E,Contributions!B:B,$A351))</f>
        <v/>
      </c>
      <c r="E351">
        <f>IF($A351="","",XLOOKUP($A351,Returns!A:A,Returns!E:E))</f>
        <v/>
      </c>
      <c r="F351">
        <f>IF(OR($A351="",D351=0),"",C351/D351*E351)</f>
        <v/>
      </c>
      <c r="G351">
        <f>IF($A351="","",C351+F351)</f>
        <v/>
      </c>
      <c r="H351">
        <f>IF($A351="","",SUMIFS(Contributions!E:E,Contributions!C:C,$B351,Contributions!F:F,"Reinvest",Contributions!G:G,$A351))</f>
        <v/>
      </c>
      <c r="I351">
        <f>IF($A351="","",G351-H351)</f>
        <v/>
      </c>
    </row>
    <row r="352">
      <c r="C352">
        <f>IF($A352="","",SUMIFS(Contributions!E:E,Contributions!B:B,$A352,Contributions!C:C,$B352))</f>
        <v/>
      </c>
      <c r="D352">
        <f>IF($A352="","",SUMIFS(Contributions!E:E,Contributions!B:B,$A352))</f>
        <v/>
      </c>
      <c r="E352">
        <f>IF($A352="","",XLOOKUP($A352,Returns!A:A,Returns!E:E))</f>
        <v/>
      </c>
      <c r="F352">
        <f>IF(OR($A352="",D352=0),"",C352/D352*E352)</f>
        <v/>
      </c>
      <c r="G352">
        <f>IF($A352="","",C352+F352)</f>
        <v/>
      </c>
      <c r="H352">
        <f>IF($A352="","",SUMIFS(Contributions!E:E,Contributions!C:C,$B352,Contributions!F:F,"Reinvest",Contributions!G:G,$A352))</f>
        <v/>
      </c>
      <c r="I352">
        <f>IF($A352="","",G352-H352)</f>
        <v/>
      </c>
    </row>
    <row r="353">
      <c r="C353">
        <f>IF($A353="","",SUMIFS(Contributions!E:E,Contributions!B:B,$A353,Contributions!C:C,$B353))</f>
        <v/>
      </c>
      <c r="D353">
        <f>IF($A353="","",SUMIFS(Contributions!E:E,Contributions!B:B,$A353))</f>
        <v/>
      </c>
      <c r="E353">
        <f>IF($A353="","",XLOOKUP($A353,Returns!A:A,Returns!E:E))</f>
        <v/>
      </c>
      <c r="F353">
        <f>IF(OR($A353="",D353=0),"",C353/D353*E353)</f>
        <v/>
      </c>
      <c r="G353">
        <f>IF($A353="","",C353+F353)</f>
        <v/>
      </c>
      <c r="H353">
        <f>IF($A353="","",SUMIFS(Contributions!E:E,Contributions!C:C,$B353,Contributions!F:F,"Reinvest",Contributions!G:G,$A353))</f>
        <v/>
      </c>
      <c r="I353">
        <f>IF($A353="","",G353-H353)</f>
        <v/>
      </c>
    </row>
    <row r="354">
      <c r="C354">
        <f>IF($A354="","",SUMIFS(Contributions!E:E,Contributions!B:B,$A354,Contributions!C:C,$B354))</f>
        <v/>
      </c>
      <c r="D354">
        <f>IF($A354="","",SUMIFS(Contributions!E:E,Contributions!B:B,$A354))</f>
        <v/>
      </c>
      <c r="E354">
        <f>IF($A354="","",XLOOKUP($A354,Returns!A:A,Returns!E:E))</f>
        <v/>
      </c>
      <c r="F354">
        <f>IF(OR($A354="",D354=0),"",C354/D354*E354)</f>
        <v/>
      </c>
      <c r="G354">
        <f>IF($A354="","",C354+F354)</f>
        <v/>
      </c>
      <c r="H354">
        <f>IF($A354="","",SUMIFS(Contributions!E:E,Contributions!C:C,$B354,Contributions!F:F,"Reinvest",Contributions!G:G,$A354))</f>
        <v/>
      </c>
      <c r="I354">
        <f>IF($A354="","",G354-H354)</f>
        <v/>
      </c>
    </row>
    <row r="355">
      <c r="C355">
        <f>IF($A355="","",SUMIFS(Contributions!E:E,Contributions!B:B,$A355,Contributions!C:C,$B355))</f>
        <v/>
      </c>
      <c r="D355">
        <f>IF($A355="","",SUMIFS(Contributions!E:E,Contributions!B:B,$A355))</f>
        <v/>
      </c>
      <c r="E355">
        <f>IF($A355="","",XLOOKUP($A355,Returns!A:A,Returns!E:E))</f>
        <v/>
      </c>
      <c r="F355">
        <f>IF(OR($A355="",D355=0),"",C355/D355*E355)</f>
        <v/>
      </c>
      <c r="G355">
        <f>IF($A355="","",C355+F355)</f>
        <v/>
      </c>
      <c r="H355">
        <f>IF($A355="","",SUMIFS(Contributions!E:E,Contributions!C:C,$B355,Contributions!F:F,"Reinvest",Contributions!G:G,$A355))</f>
        <v/>
      </c>
      <c r="I355">
        <f>IF($A355="","",G355-H355)</f>
        <v/>
      </c>
    </row>
    <row r="356">
      <c r="C356">
        <f>IF($A356="","",SUMIFS(Contributions!E:E,Contributions!B:B,$A356,Contributions!C:C,$B356))</f>
        <v/>
      </c>
      <c r="D356">
        <f>IF($A356="","",SUMIFS(Contributions!E:E,Contributions!B:B,$A356))</f>
        <v/>
      </c>
      <c r="E356">
        <f>IF($A356="","",XLOOKUP($A356,Returns!A:A,Returns!E:E))</f>
        <v/>
      </c>
      <c r="F356">
        <f>IF(OR($A356="",D356=0),"",C356/D356*E356)</f>
        <v/>
      </c>
      <c r="G356">
        <f>IF($A356="","",C356+F356)</f>
        <v/>
      </c>
      <c r="H356">
        <f>IF($A356="","",SUMIFS(Contributions!E:E,Contributions!C:C,$B356,Contributions!F:F,"Reinvest",Contributions!G:G,$A356))</f>
        <v/>
      </c>
      <c r="I356">
        <f>IF($A356="","",G356-H356)</f>
        <v/>
      </c>
    </row>
    <row r="357">
      <c r="C357">
        <f>IF($A357="","",SUMIFS(Contributions!E:E,Contributions!B:B,$A357,Contributions!C:C,$B357))</f>
        <v/>
      </c>
      <c r="D357">
        <f>IF($A357="","",SUMIFS(Contributions!E:E,Contributions!B:B,$A357))</f>
        <v/>
      </c>
      <c r="E357">
        <f>IF($A357="","",XLOOKUP($A357,Returns!A:A,Returns!E:E))</f>
        <v/>
      </c>
      <c r="F357">
        <f>IF(OR($A357="",D357=0),"",C357/D357*E357)</f>
        <v/>
      </c>
      <c r="G357">
        <f>IF($A357="","",C357+F357)</f>
        <v/>
      </c>
      <c r="H357">
        <f>IF($A357="","",SUMIFS(Contributions!E:E,Contributions!C:C,$B357,Contributions!F:F,"Reinvest",Contributions!G:G,$A357))</f>
        <v/>
      </c>
      <c r="I357">
        <f>IF($A357="","",G357-H357)</f>
        <v/>
      </c>
    </row>
    <row r="358">
      <c r="C358">
        <f>IF($A358="","",SUMIFS(Contributions!E:E,Contributions!B:B,$A358,Contributions!C:C,$B358))</f>
        <v/>
      </c>
      <c r="D358">
        <f>IF($A358="","",SUMIFS(Contributions!E:E,Contributions!B:B,$A358))</f>
        <v/>
      </c>
      <c r="E358">
        <f>IF($A358="","",XLOOKUP($A358,Returns!A:A,Returns!E:E))</f>
        <v/>
      </c>
      <c r="F358">
        <f>IF(OR($A358="",D358=0),"",C358/D358*E358)</f>
        <v/>
      </c>
      <c r="G358">
        <f>IF($A358="","",C358+F358)</f>
        <v/>
      </c>
      <c r="H358">
        <f>IF($A358="","",SUMIFS(Contributions!E:E,Contributions!C:C,$B358,Contributions!F:F,"Reinvest",Contributions!G:G,$A358))</f>
        <v/>
      </c>
      <c r="I358">
        <f>IF($A358="","",G358-H358)</f>
        <v/>
      </c>
    </row>
    <row r="359">
      <c r="C359">
        <f>IF($A359="","",SUMIFS(Contributions!E:E,Contributions!B:B,$A359,Contributions!C:C,$B359))</f>
        <v/>
      </c>
      <c r="D359">
        <f>IF($A359="","",SUMIFS(Contributions!E:E,Contributions!B:B,$A359))</f>
        <v/>
      </c>
      <c r="E359">
        <f>IF($A359="","",XLOOKUP($A359,Returns!A:A,Returns!E:E))</f>
        <v/>
      </c>
      <c r="F359">
        <f>IF(OR($A359="",D359=0),"",C359/D359*E359)</f>
        <v/>
      </c>
      <c r="G359">
        <f>IF($A359="","",C359+F359)</f>
        <v/>
      </c>
      <c r="H359">
        <f>IF($A359="","",SUMIFS(Contributions!E:E,Contributions!C:C,$B359,Contributions!F:F,"Reinvest",Contributions!G:G,$A359))</f>
        <v/>
      </c>
      <c r="I359">
        <f>IF($A359="","",G359-H359)</f>
        <v/>
      </c>
    </row>
    <row r="360">
      <c r="C360">
        <f>IF($A360="","",SUMIFS(Contributions!E:E,Contributions!B:B,$A360,Contributions!C:C,$B360))</f>
        <v/>
      </c>
      <c r="D360">
        <f>IF($A360="","",SUMIFS(Contributions!E:E,Contributions!B:B,$A360))</f>
        <v/>
      </c>
      <c r="E360">
        <f>IF($A360="","",XLOOKUP($A360,Returns!A:A,Returns!E:E))</f>
        <v/>
      </c>
      <c r="F360">
        <f>IF(OR($A360="",D360=0),"",C360/D360*E360)</f>
        <v/>
      </c>
      <c r="G360">
        <f>IF($A360="","",C360+F360)</f>
        <v/>
      </c>
      <c r="H360">
        <f>IF($A360="","",SUMIFS(Contributions!E:E,Contributions!C:C,$B360,Contributions!F:F,"Reinvest",Contributions!G:G,$A360))</f>
        <v/>
      </c>
      <c r="I360">
        <f>IF($A360="","",G360-H360)</f>
        <v/>
      </c>
    </row>
    <row r="361">
      <c r="C361">
        <f>IF($A361="","",SUMIFS(Contributions!E:E,Contributions!B:B,$A361,Contributions!C:C,$B361))</f>
        <v/>
      </c>
      <c r="D361">
        <f>IF($A361="","",SUMIFS(Contributions!E:E,Contributions!B:B,$A361))</f>
        <v/>
      </c>
      <c r="E361">
        <f>IF($A361="","",XLOOKUP($A361,Returns!A:A,Returns!E:E))</f>
        <v/>
      </c>
      <c r="F361">
        <f>IF(OR($A361="",D361=0),"",C361/D361*E361)</f>
        <v/>
      </c>
      <c r="G361">
        <f>IF($A361="","",C361+F361)</f>
        <v/>
      </c>
      <c r="H361">
        <f>IF($A361="","",SUMIFS(Contributions!E:E,Contributions!C:C,$B361,Contributions!F:F,"Reinvest",Contributions!G:G,$A361))</f>
        <v/>
      </c>
      <c r="I361">
        <f>IF($A361="","",G361-H361)</f>
        <v/>
      </c>
    </row>
    <row r="362">
      <c r="C362">
        <f>IF($A362="","",SUMIFS(Contributions!E:E,Contributions!B:B,$A362,Contributions!C:C,$B362))</f>
        <v/>
      </c>
      <c r="D362">
        <f>IF($A362="","",SUMIFS(Contributions!E:E,Contributions!B:B,$A362))</f>
        <v/>
      </c>
      <c r="E362">
        <f>IF($A362="","",XLOOKUP($A362,Returns!A:A,Returns!E:E))</f>
        <v/>
      </c>
      <c r="F362">
        <f>IF(OR($A362="",D362=0),"",C362/D362*E362)</f>
        <v/>
      </c>
      <c r="G362">
        <f>IF($A362="","",C362+F362)</f>
        <v/>
      </c>
      <c r="H362">
        <f>IF($A362="","",SUMIFS(Contributions!E:E,Contributions!C:C,$B362,Contributions!F:F,"Reinvest",Contributions!G:G,$A362))</f>
        <v/>
      </c>
      <c r="I362">
        <f>IF($A362="","",G362-H362)</f>
        <v/>
      </c>
    </row>
    <row r="363">
      <c r="C363">
        <f>IF($A363="","",SUMIFS(Contributions!E:E,Contributions!B:B,$A363,Contributions!C:C,$B363))</f>
        <v/>
      </c>
      <c r="D363">
        <f>IF($A363="","",SUMIFS(Contributions!E:E,Contributions!B:B,$A363))</f>
        <v/>
      </c>
      <c r="E363">
        <f>IF($A363="","",XLOOKUP($A363,Returns!A:A,Returns!E:E))</f>
        <v/>
      </c>
      <c r="F363">
        <f>IF(OR($A363="",D363=0),"",C363/D363*E363)</f>
        <v/>
      </c>
      <c r="G363">
        <f>IF($A363="","",C363+F363)</f>
        <v/>
      </c>
      <c r="H363">
        <f>IF($A363="","",SUMIFS(Contributions!E:E,Contributions!C:C,$B363,Contributions!F:F,"Reinvest",Contributions!G:G,$A363))</f>
        <v/>
      </c>
      <c r="I363">
        <f>IF($A363="","",G363-H363)</f>
        <v/>
      </c>
    </row>
    <row r="364">
      <c r="C364">
        <f>IF($A364="","",SUMIFS(Contributions!E:E,Contributions!B:B,$A364,Contributions!C:C,$B364))</f>
        <v/>
      </c>
      <c r="D364">
        <f>IF($A364="","",SUMIFS(Contributions!E:E,Contributions!B:B,$A364))</f>
        <v/>
      </c>
      <c r="E364">
        <f>IF($A364="","",XLOOKUP($A364,Returns!A:A,Returns!E:E))</f>
        <v/>
      </c>
      <c r="F364">
        <f>IF(OR($A364="",D364=0),"",C364/D364*E364)</f>
        <v/>
      </c>
      <c r="G364">
        <f>IF($A364="","",C364+F364)</f>
        <v/>
      </c>
      <c r="H364">
        <f>IF($A364="","",SUMIFS(Contributions!E:E,Contributions!C:C,$B364,Contributions!F:F,"Reinvest",Contributions!G:G,$A364))</f>
        <v/>
      </c>
      <c r="I364">
        <f>IF($A364="","",G364-H364)</f>
        <v/>
      </c>
    </row>
    <row r="365">
      <c r="C365">
        <f>IF($A365="","",SUMIFS(Contributions!E:E,Contributions!B:B,$A365,Contributions!C:C,$B365))</f>
        <v/>
      </c>
      <c r="D365">
        <f>IF($A365="","",SUMIFS(Contributions!E:E,Contributions!B:B,$A365))</f>
        <v/>
      </c>
      <c r="E365">
        <f>IF($A365="","",XLOOKUP($A365,Returns!A:A,Returns!E:E))</f>
        <v/>
      </c>
      <c r="F365">
        <f>IF(OR($A365="",D365=0),"",C365/D365*E365)</f>
        <v/>
      </c>
      <c r="G365">
        <f>IF($A365="","",C365+F365)</f>
        <v/>
      </c>
      <c r="H365">
        <f>IF($A365="","",SUMIFS(Contributions!E:E,Contributions!C:C,$B365,Contributions!F:F,"Reinvest",Contributions!G:G,$A365))</f>
        <v/>
      </c>
      <c r="I365">
        <f>IF($A365="","",G365-H365)</f>
        <v/>
      </c>
    </row>
    <row r="366">
      <c r="C366">
        <f>IF($A366="","",SUMIFS(Contributions!E:E,Contributions!B:B,$A366,Contributions!C:C,$B366))</f>
        <v/>
      </c>
      <c r="D366">
        <f>IF($A366="","",SUMIFS(Contributions!E:E,Contributions!B:B,$A366))</f>
        <v/>
      </c>
      <c r="E366">
        <f>IF($A366="","",XLOOKUP($A366,Returns!A:A,Returns!E:E))</f>
        <v/>
      </c>
      <c r="F366">
        <f>IF(OR($A366="",D366=0),"",C366/D366*E366)</f>
        <v/>
      </c>
      <c r="G366">
        <f>IF($A366="","",C366+F366)</f>
        <v/>
      </c>
      <c r="H366">
        <f>IF($A366="","",SUMIFS(Contributions!E:E,Contributions!C:C,$B366,Contributions!F:F,"Reinvest",Contributions!G:G,$A366))</f>
        <v/>
      </c>
      <c r="I366">
        <f>IF($A366="","",G366-H366)</f>
        <v/>
      </c>
    </row>
    <row r="367">
      <c r="C367">
        <f>IF($A367="","",SUMIFS(Contributions!E:E,Contributions!B:B,$A367,Contributions!C:C,$B367))</f>
        <v/>
      </c>
      <c r="D367">
        <f>IF($A367="","",SUMIFS(Contributions!E:E,Contributions!B:B,$A367))</f>
        <v/>
      </c>
      <c r="E367">
        <f>IF($A367="","",XLOOKUP($A367,Returns!A:A,Returns!E:E))</f>
        <v/>
      </c>
      <c r="F367">
        <f>IF(OR($A367="",D367=0),"",C367/D367*E367)</f>
        <v/>
      </c>
      <c r="G367">
        <f>IF($A367="","",C367+F367)</f>
        <v/>
      </c>
      <c r="H367">
        <f>IF($A367="","",SUMIFS(Contributions!E:E,Contributions!C:C,$B367,Contributions!F:F,"Reinvest",Contributions!G:G,$A367))</f>
        <v/>
      </c>
      <c r="I367">
        <f>IF($A367="","",G367-H367)</f>
        <v/>
      </c>
    </row>
    <row r="368">
      <c r="C368">
        <f>IF($A368="","",SUMIFS(Contributions!E:E,Contributions!B:B,$A368,Contributions!C:C,$B368))</f>
        <v/>
      </c>
      <c r="D368">
        <f>IF($A368="","",SUMIFS(Contributions!E:E,Contributions!B:B,$A368))</f>
        <v/>
      </c>
      <c r="E368">
        <f>IF($A368="","",XLOOKUP($A368,Returns!A:A,Returns!E:E))</f>
        <v/>
      </c>
      <c r="F368">
        <f>IF(OR($A368="",D368=0),"",C368/D368*E368)</f>
        <v/>
      </c>
      <c r="G368">
        <f>IF($A368="","",C368+F368)</f>
        <v/>
      </c>
      <c r="H368">
        <f>IF($A368="","",SUMIFS(Contributions!E:E,Contributions!C:C,$B368,Contributions!F:F,"Reinvest",Contributions!G:G,$A368))</f>
        <v/>
      </c>
      <c r="I368">
        <f>IF($A368="","",G368-H368)</f>
        <v/>
      </c>
    </row>
    <row r="369">
      <c r="C369">
        <f>IF($A369="","",SUMIFS(Contributions!E:E,Contributions!B:B,$A369,Contributions!C:C,$B369))</f>
        <v/>
      </c>
      <c r="D369">
        <f>IF($A369="","",SUMIFS(Contributions!E:E,Contributions!B:B,$A369))</f>
        <v/>
      </c>
      <c r="E369">
        <f>IF($A369="","",XLOOKUP($A369,Returns!A:A,Returns!E:E))</f>
        <v/>
      </c>
      <c r="F369">
        <f>IF(OR($A369="",D369=0),"",C369/D369*E369)</f>
        <v/>
      </c>
      <c r="G369">
        <f>IF($A369="","",C369+F369)</f>
        <v/>
      </c>
      <c r="H369">
        <f>IF($A369="","",SUMIFS(Contributions!E:E,Contributions!C:C,$B369,Contributions!F:F,"Reinvest",Contributions!G:G,$A369))</f>
        <v/>
      </c>
      <c r="I369">
        <f>IF($A369="","",G369-H369)</f>
        <v/>
      </c>
    </row>
    <row r="370">
      <c r="C370">
        <f>IF($A370="","",SUMIFS(Contributions!E:E,Contributions!B:B,$A370,Contributions!C:C,$B370))</f>
        <v/>
      </c>
      <c r="D370">
        <f>IF($A370="","",SUMIFS(Contributions!E:E,Contributions!B:B,$A370))</f>
        <v/>
      </c>
      <c r="E370">
        <f>IF($A370="","",XLOOKUP($A370,Returns!A:A,Returns!E:E))</f>
        <v/>
      </c>
      <c r="F370">
        <f>IF(OR($A370="",D370=0),"",C370/D370*E370)</f>
        <v/>
      </c>
      <c r="G370">
        <f>IF($A370="","",C370+F370)</f>
        <v/>
      </c>
      <c r="H370">
        <f>IF($A370="","",SUMIFS(Contributions!E:E,Contributions!C:C,$B370,Contributions!F:F,"Reinvest",Contributions!G:G,$A370))</f>
        <v/>
      </c>
      <c r="I370">
        <f>IF($A370="","",G370-H370)</f>
        <v/>
      </c>
    </row>
    <row r="371">
      <c r="C371">
        <f>IF($A371="","",SUMIFS(Contributions!E:E,Contributions!B:B,$A371,Contributions!C:C,$B371))</f>
        <v/>
      </c>
      <c r="D371">
        <f>IF($A371="","",SUMIFS(Contributions!E:E,Contributions!B:B,$A371))</f>
        <v/>
      </c>
      <c r="E371">
        <f>IF($A371="","",XLOOKUP($A371,Returns!A:A,Returns!E:E))</f>
        <v/>
      </c>
      <c r="F371">
        <f>IF(OR($A371="",D371=0),"",C371/D371*E371)</f>
        <v/>
      </c>
      <c r="G371">
        <f>IF($A371="","",C371+F371)</f>
        <v/>
      </c>
      <c r="H371">
        <f>IF($A371="","",SUMIFS(Contributions!E:E,Contributions!C:C,$B371,Contributions!F:F,"Reinvest",Contributions!G:G,$A371))</f>
        <v/>
      </c>
      <c r="I371">
        <f>IF($A371="","",G371-H371)</f>
        <v/>
      </c>
    </row>
    <row r="372">
      <c r="C372">
        <f>IF($A372="","",SUMIFS(Contributions!E:E,Contributions!B:B,$A372,Contributions!C:C,$B372))</f>
        <v/>
      </c>
      <c r="D372">
        <f>IF($A372="","",SUMIFS(Contributions!E:E,Contributions!B:B,$A372))</f>
        <v/>
      </c>
      <c r="E372">
        <f>IF($A372="","",XLOOKUP($A372,Returns!A:A,Returns!E:E))</f>
        <v/>
      </c>
      <c r="F372">
        <f>IF(OR($A372="",D372=0),"",C372/D372*E372)</f>
        <v/>
      </c>
      <c r="G372">
        <f>IF($A372="","",C372+F372)</f>
        <v/>
      </c>
      <c r="H372">
        <f>IF($A372="","",SUMIFS(Contributions!E:E,Contributions!C:C,$B372,Contributions!F:F,"Reinvest",Contributions!G:G,$A372))</f>
        <v/>
      </c>
      <c r="I372">
        <f>IF($A372="","",G372-H372)</f>
        <v/>
      </c>
    </row>
    <row r="373">
      <c r="C373">
        <f>IF($A373="","",SUMIFS(Contributions!E:E,Contributions!B:B,$A373,Contributions!C:C,$B373))</f>
        <v/>
      </c>
      <c r="D373">
        <f>IF($A373="","",SUMIFS(Contributions!E:E,Contributions!B:B,$A373))</f>
        <v/>
      </c>
      <c r="E373">
        <f>IF($A373="","",XLOOKUP($A373,Returns!A:A,Returns!E:E))</f>
        <v/>
      </c>
      <c r="F373">
        <f>IF(OR($A373="",D373=0),"",C373/D373*E373)</f>
        <v/>
      </c>
      <c r="G373">
        <f>IF($A373="","",C373+F373)</f>
        <v/>
      </c>
      <c r="H373">
        <f>IF($A373="","",SUMIFS(Contributions!E:E,Contributions!C:C,$B373,Contributions!F:F,"Reinvest",Contributions!G:G,$A373))</f>
        <v/>
      </c>
      <c r="I373">
        <f>IF($A373="","",G373-H373)</f>
        <v/>
      </c>
    </row>
    <row r="374">
      <c r="C374">
        <f>IF($A374="","",SUMIFS(Contributions!E:E,Contributions!B:B,$A374,Contributions!C:C,$B374))</f>
        <v/>
      </c>
      <c r="D374">
        <f>IF($A374="","",SUMIFS(Contributions!E:E,Contributions!B:B,$A374))</f>
        <v/>
      </c>
      <c r="E374">
        <f>IF($A374="","",XLOOKUP($A374,Returns!A:A,Returns!E:E))</f>
        <v/>
      </c>
      <c r="F374">
        <f>IF(OR($A374="",D374=0),"",C374/D374*E374)</f>
        <v/>
      </c>
      <c r="G374">
        <f>IF($A374="","",C374+F374)</f>
        <v/>
      </c>
      <c r="H374">
        <f>IF($A374="","",SUMIFS(Contributions!E:E,Contributions!C:C,$B374,Contributions!F:F,"Reinvest",Contributions!G:G,$A374))</f>
        <v/>
      </c>
      <c r="I374">
        <f>IF($A374="","",G374-H374)</f>
        <v/>
      </c>
    </row>
    <row r="375">
      <c r="C375">
        <f>IF($A375="","",SUMIFS(Contributions!E:E,Contributions!B:B,$A375,Contributions!C:C,$B375))</f>
        <v/>
      </c>
      <c r="D375">
        <f>IF($A375="","",SUMIFS(Contributions!E:E,Contributions!B:B,$A375))</f>
        <v/>
      </c>
      <c r="E375">
        <f>IF($A375="","",XLOOKUP($A375,Returns!A:A,Returns!E:E))</f>
        <v/>
      </c>
      <c r="F375">
        <f>IF(OR($A375="",D375=0),"",C375/D375*E375)</f>
        <v/>
      </c>
      <c r="G375">
        <f>IF($A375="","",C375+F375)</f>
        <v/>
      </c>
      <c r="H375">
        <f>IF($A375="","",SUMIFS(Contributions!E:E,Contributions!C:C,$B375,Contributions!F:F,"Reinvest",Contributions!G:G,$A375))</f>
        <v/>
      </c>
      <c r="I375">
        <f>IF($A375="","",G375-H375)</f>
        <v/>
      </c>
    </row>
    <row r="376">
      <c r="C376">
        <f>IF($A376="","",SUMIFS(Contributions!E:E,Contributions!B:B,$A376,Contributions!C:C,$B376))</f>
        <v/>
      </c>
      <c r="D376">
        <f>IF($A376="","",SUMIFS(Contributions!E:E,Contributions!B:B,$A376))</f>
        <v/>
      </c>
      <c r="E376">
        <f>IF($A376="","",XLOOKUP($A376,Returns!A:A,Returns!E:E))</f>
        <v/>
      </c>
      <c r="F376">
        <f>IF(OR($A376="",D376=0),"",C376/D376*E376)</f>
        <v/>
      </c>
      <c r="G376">
        <f>IF($A376="","",C376+F376)</f>
        <v/>
      </c>
      <c r="H376">
        <f>IF($A376="","",SUMIFS(Contributions!E:E,Contributions!C:C,$B376,Contributions!F:F,"Reinvest",Contributions!G:G,$A376))</f>
        <v/>
      </c>
      <c r="I376">
        <f>IF($A376="","",G376-H376)</f>
        <v/>
      </c>
    </row>
    <row r="377">
      <c r="C377">
        <f>IF($A377="","",SUMIFS(Contributions!E:E,Contributions!B:B,$A377,Contributions!C:C,$B377))</f>
        <v/>
      </c>
      <c r="D377">
        <f>IF($A377="","",SUMIFS(Contributions!E:E,Contributions!B:B,$A377))</f>
        <v/>
      </c>
      <c r="E377">
        <f>IF($A377="","",XLOOKUP($A377,Returns!A:A,Returns!E:E))</f>
        <v/>
      </c>
      <c r="F377">
        <f>IF(OR($A377="",D377=0),"",C377/D377*E377)</f>
        <v/>
      </c>
      <c r="G377">
        <f>IF($A377="","",C377+F377)</f>
        <v/>
      </c>
      <c r="H377">
        <f>IF($A377="","",SUMIFS(Contributions!E:E,Contributions!C:C,$B377,Contributions!F:F,"Reinvest",Contributions!G:G,$A377))</f>
        <v/>
      </c>
      <c r="I377">
        <f>IF($A377="","",G377-H377)</f>
        <v/>
      </c>
    </row>
    <row r="378">
      <c r="C378">
        <f>IF($A378="","",SUMIFS(Contributions!E:E,Contributions!B:B,$A378,Contributions!C:C,$B378))</f>
        <v/>
      </c>
      <c r="D378">
        <f>IF($A378="","",SUMIFS(Contributions!E:E,Contributions!B:B,$A378))</f>
        <v/>
      </c>
      <c r="E378">
        <f>IF($A378="","",XLOOKUP($A378,Returns!A:A,Returns!E:E))</f>
        <v/>
      </c>
      <c r="F378">
        <f>IF(OR($A378="",D378=0),"",C378/D378*E378)</f>
        <v/>
      </c>
      <c r="G378">
        <f>IF($A378="","",C378+F378)</f>
        <v/>
      </c>
      <c r="H378">
        <f>IF($A378="","",SUMIFS(Contributions!E:E,Contributions!C:C,$B378,Contributions!F:F,"Reinvest",Contributions!G:G,$A378))</f>
        <v/>
      </c>
      <c r="I378">
        <f>IF($A378="","",G378-H378)</f>
        <v/>
      </c>
    </row>
    <row r="379">
      <c r="C379">
        <f>IF($A379="","",SUMIFS(Contributions!E:E,Contributions!B:B,$A379,Contributions!C:C,$B379))</f>
        <v/>
      </c>
      <c r="D379">
        <f>IF($A379="","",SUMIFS(Contributions!E:E,Contributions!B:B,$A379))</f>
        <v/>
      </c>
      <c r="E379">
        <f>IF($A379="","",XLOOKUP($A379,Returns!A:A,Returns!E:E))</f>
        <v/>
      </c>
      <c r="F379">
        <f>IF(OR($A379="",D379=0),"",C379/D379*E379)</f>
        <v/>
      </c>
      <c r="G379">
        <f>IF($A379="","",C379+F379)</f>
        <v/>
      </c>
      <c r="H379">
        <f>IF($A379="","",SUMIFS(Contributions!E:E,Contributions!C:C,$B379,Contributions!F:F,"Reinvest",Contributions!G:G,$A379))</f>
        <v/>
      </c>
      <c r="I379">
        <f>IF($A379="","",G379-H379)</f>
        <v/>
      </c>
    </row>
    <row r="380">
      <c r="C380">
        <f>IF($A380="","",SUMIFS(Contributions!E:E,Contributions!B:B,$A380,Contributions!C:C,$B380))</f>
        <v/>
      </c>
      <c r="D380">
        <f>IF($A380="","",SUMIFS(Contributions!E:E,Contributions!B:B,$A380))</f>
        <v/>
      </c>
      <c r="E380">
        <f>IF($A380="","",XLOOKUP($A380,Returns!A:A,Returns!E:E))</f>
        <v/>
      </c>
      <c r="F380">
        <f>IF(OR($A380="",D380=0),"",C380/D380*E380)</f>
        <v/>
      </c>
      <c r="G380">
        <f>IF($A380="","",C380+F380)</f>
        <v/>
      </c>
      <c r="H380">
        <f>IF($A380="","",SUMIFS(Contributions!E:E,Contributions!C:C,$B380,Contributions!F:F,"Reinvest",Contributions!G:G,$A380))</f>
        <v/>
      </c>
      <c r="I380">
        <f>IF($A380="","",G380-H380)</f>
        <v/>
      </c>
    </row>
    <row r="381">
      <c r="C381">
        <f>IF($A381="","",SUMIFS(Contributions!E:E,Contributions!B:B,$A381,Contributions!C:C,$B381))</f>
        <v/>
      </c>
      <c r="D381">
        <f>IF($A381="","",SUMIFS(Contributions!E:E,Contributions!B:B,$A381))</f>
        <v/>
      </c>
      <c r="E381">
        <f>IF($A381="","",XLOOKUP($A381,Returns!A:A,Returns!E:E))</f>
        <v/>
      </c>
      <c r="F381">
        <f>IF(OR($A381="",D381=0),"",C381/D381*E381)</f>
        <v/>
      </c>
      <c r="G381">
        <f>IF($A381="","",C381+F381)</f>
        <v/>
      </c>
      <c r="H381">
        <f>IF($A381="","",SUMIFS(Contributions!E:E,Contributions!C:C,$B381,Contributions!F:F,"Reinvest",Contributions!G:G,$A381))</f>
        <v/>
      </c>
      <c r="I381">
        <f>IF($A381="","",G381-H381)</f>
        <v/>
      </c>
    </row>
    <row r="382">
      <c r="C382">
        <f>IF($A382="","",SUMIFS(Contributions!E:E,Contributions!B:B,$A382,Contributions!C:C,$B382))</f>
        <v/>
      </c>
      <c r="D382">
        <f>IF($A382="","",SUMIFS(Contributions!E:E,Contributions!B:B,$A382))</f>
        <v/>
      </c>
      <c r="E382">
        <f>IF($A382="","",XLOOKUP($A382,Returns!A:A,Returns!E:E))</f>
        <v/>
      </c>
      <c r="F382">
        <f>IF(OR($A382="",D382=0),"",C382/D382*E382)</f>
        <v/>
      </c>
      <c r="G382">
        <f>IF($A382="","",C382+F382)</f>
        <v/>
      </c>
      <c r="H382">
        <f>IF($A382="","",SUMIFS(Contributions!E:E,Contributions!C:C,$B382,Contributions!F:F,"Reinvest",Contributions!G:G,$A382))</f>
        <v/>
      </c>
      <c r="I382">
        <f>IF($A382="","",G382-H382)</f>
        <v/>
      </c>
    </row>
    <row r="383">
      <c r="C383">
        <f>IF($A383="","",SUMIFS(Contributions!E:E,Contributions!B:B,$A383,Contributions!C:C,$B383))</f>
        <v/>
      </c>
      <c r="D383">
        <f>IF($A383="","",SUMIFS(Contributions!E:E,Contributions!B:B,$A383))</f>
        <v/>
      </c>
      <c r="E383">
        <f>IF($A383="","",XLOOKUP($A383,Returns!A:A,Returns!E:E))</f>
        <v/>
      </c>
      <c r="F383">
        <f>IF(OR($A383="",D383=0),"",C383/D383*E383)</f>
        <v/>
      </c>
      <c r="G383">
        <f>IF($A383="","",C383+F383)</f>
        <v/>
      </c>
      <c r="H383">
        <f>IF($A383="","",SUMIFS(Contributions!E:E,Contributions!C:C,$B383,Contributions!F:F,"Reinvest",Contributions!G:G,$A383))</f>
        <v/>
      </c>
      <c r="I383">
        <f>IF($A383="","",G383-H383)</f>
        <v/>
      </c>
    </row>
    <row r="384">
      <c r="C384">
        <f>IF($A384="","",SUMIFS(Contributions!E:E,Contributions!B:B,$A384,Contributions!C:C,$B384))</f>
        <v/>
      </c>
      <c r="D384">
        <f>IF($A384="","",SUMIFS(Contributions!E:E,Contributions!B:B,$A384))</f>
        <v/>
      </c>
      <c r="E384">
        <f>IF($A384="","",XLOOKUP($A384,Returns!A:A,Returns!E:E))</f>
        <v/>
      </c>
      <c r="F384">
        <f>IF(OR($A384="",D384=0),"",C384/D384*E384)</f>
        <v/>
      </c>
      <c r="G384">
        <f>IF($A384="","",C384+F384)</f>
        <v/>
      </c>
      <c r="H384">
        <f>IF($A384="","",SUMIFS(Contributions!E:E,Contributions!C:C,$B384,Contributions!F:F,"Reinvest",Contributions!G:G,$A384))</f>
        <v/>
      </c>
      <c r="I384">
        <f>IF($A384="","",G384-H384)</f>
        <v/>
      </c>
    </row>
    <row r="385">
      <c r="C385">
        <f>IF($A385="","",SUMIFS(Contributions!E:E,Contributions!B:B,$A385,Contributions!C:C,$B385))</f>
        <v/>
      </c>
      <c r="D385">
        <f>IF($A385="","",SUMIFS(Contributions!E:E,Contributions!B:B,$A385))</f>
        <v/>
      </c>
      <c r="E385">
        <f>IF($A385="","",XLOOKUP($A385,Returns!A:A,Returns!E:E))</f>
        <v/>
      </c>
      <c r="F385">
        <f>IF(OR($A385="",D385=0),"",C385/D385*E385)</f>
        <v/>
      </c>
      <c r="G385">
        <f>IF($A385="","",C385+F385)</f>
        <v/>
      </c>
      <c r="H385">
        <f>IF($A385="","",SUMIFS(Contributions!E:E,Contributions!C:C,$B385,Contributions!F:F,"Reinvest",Contributions!G:G,$A385))</f>
        <v/>
      </c>
      <c r="I385">
        <f>IF($A385="","",G385-H385)</f>
        <v/>
      </c>
    </row>
    <row r="386">
      <c r="C386">
        <f>IF($A386="","",SUMIFS(Contributions!E:E,Contributions!B:B,$A386,Contributions!C:C,$B386))</f>
        <v/>
      </c>
      <c r="D386">
        <f>IF($A386="","",SUMIFS(Contributions!E:E,Contributions!B:B,$A386))</f>
        <v/>
      </c>
      <c r="E386">
        <f>IF($A386="","",XLOOKUP($A386,Returns!A:A,Returns!E:E))</f>
        <v/>
      </c>
      <c r="F386">
        <f>IF(OR($A386="",D386=0),"",C386/D386*E386)</f>
        <v/>
      </c>
      <c r="G386">
        <f>IF($A386="","",C386+F386)</f>
        <v/>
      </c>
      <c r="H386">
        <f>IF($A386="","",SUMIFS(Contributions!E:E,Contributions!C:C,$B386,Contributions!F:F,"Reinvest",Contributions!G:G,$A386))</f>
        <v/>
      </c>
      <c r="I386">
        <f>IF($A386="","",G386-H386)</f>
        <v/>
      </c>
    </row>
    <row r="387">
      <c r="C387">
        <f>IF($A387="","",SUMIFS(Contributions!E:E,Contributions!B:B,$A387,Contributions!C:C,$B387))</f>
        <v/>
      </c>
      <c r="D387">
        <f>IF($A387="","",SUMIFS(Contributions!E:E,Contributions!B:B,$A387))</f>
        <v/>
      </c>
      <c r="E387">
        <f>IF($A387="","",XLOOKUP($A387,Returns!A:A,Returns!E:E))</f>
        <v/>
      </c>
      <c r="F387">
        <f>IF(OR($A387="",D387=0),"",C387/D387*E387)</f>
        <v/>
      </c>
      <c r="G387">
        <f>IF($A387="","",C387+F387)</f>
        <v/>
      </c>
      <c r="H387">
        <f>IF($A387="","",SUMIFS(Contributions!E:E,Contributions!C:C,$B387,Contributions!F:F,"Reinvest",Contributions!G:G,$A387))</f>
        <v/>
      </c>
      <c r="I387">
        <f>IF($A387="","",G387-H387)</f>
        <v/>
      </c>
    </row>
    <row r="388">
      <c r="C388">
        <f>IF($A388="","",SUMIFS(Contributions!E:E,Contributions!B:B,$A388,Contributions!C:C,$B388))</f>
        <v/>
      </c>
      <c r="D388">
        <f>IF($A388="","",SUMIFS(Contributions!E:E,Contributions!B:B,$A388))</f>
        <v/>
      </c>
      <c r="E388">
        <f>IF($A388="","",XLOOKUP($A388,Returns!A:A,Returns!E:E))</f>
        <v/>
      </c>
      <c r="F388">
        <f>IF(OR($A388="",D388=0),"",C388/D388*E388)</f>
        <v/>
      </c>
      <c r="G388">
        <f>IF($A388="","",C388+F388)</f>
        <v/>
      </c>
      <c r="H388">
        <f>IF($A388="","",SUMIFS(Contributions!E:E,Contributions!C:C,$B388,Contributions!F:F,"Reinvest",Contributions!G:G,$A388))</f>
        <v/>
      </c>
      <c r="I388">
        <f>IF($A388="","",G388-H388)</f>
        <v/>
      </c>
    </row>
    <row r="389">
      <c r="C389">
        <f>IF($A389="","",SUMIFS(Contributions!E:E,Contributions!B:B,$A389,Contributions!C:C,$B389))</f>
        <v/>
      </c>
      <c r="D389">
        <f>IF($A389="","",SUMIFS(Contributions!E:E,Contributions!B:B,$A389))</f>
        <v/>
      </c>
      <c r="E389">
        <f>IF($A389="","",XLOOKUP($A389,Returns!A:A,Returns!E:E))</f>
        <v/>
      </c>
      <c r="F389">
        <f>IF(OR($A389="",D389=0),"",C389/D389*E389)</f>
        <v/>
      </c>
      <c r="G389">
        <f>IF($A389="","",C389+F389)</f>
        <v/>
      </c>
      <c r="H389">
        <f>IF($A389="","",SUMIFS(Contributions!E:E,Contributions!C:C,$B389,Contributions!F:F,"Reinvest",Contributions!G:G,$A389))</f>
        <v/>
      </c>
      <c r="I389">
        <f>IF($A389="","",G389-H389)</f>
        <v/>
      </c>
    </row>
    <row r="390">
      <c r="C390">
        <f>IF($A390="","",SUMIFS(Contributions!E:E,Contributions!B:B,$A390,Contributions!C:C,$B390))</f>
        <v/>
      </c>
      <c r="D390">
        <f>IF($A390="","",SUMIFS(Contributions!E:E,Contributions!B:B,$A390))</f>
        <v/>
      </c>
      <c r="E390">
        <f>IF($A390="","",XLOOKUP($A390,Returns!A:A,Returns!E:E))</f>
        <v/>
      </c>
      <c r="F390">
        <f>IF(OR($A390="",D390=0),"",C390/D390*E390)</f>
        <v/>
      </c>
      <c r="G390">
        <f>IF($A390="","",C390+F390)</f>
        <v/>
      </c>
      <c r="H390">
        <f>IF($A390="","",SUMIFS(Contributions!E:E,Contributions!C:C,$B390,Contributions!F:F,"Reinvest",Contributions!G:G,$A390))</f>
        <v/>
      </c>
      <c r="I390">
        <f>IF($A390="","",G390-H390)</f>
        <v/>
      </c>
    </row>
    <row r="391">
      <c r="C391">
        <f>IF($A391="","",SUMIFS(Contributions!E:E,Contributions!B:B,$A391,Contributions!C:C,$B391))</f>
        <v/>
      </c>
      <c r="D391">
        <f>IF($A391="","",SUMIFS(Contributions!E:E,Contributions!B:B,$A391))</f>
        <v/>
      </c>
      <c r="E391">
        <f>IF($A391="","",XLOOKUP($A391,Returns!A:A,Returns!E:E))</f>
        <v/>
      </c>
      <c r="F391">
        <f>IF(OR($A391="",D391=0),"",C391/D391*E391)</f>
        <v/>
      </c>
      <c r="G391">
        <f>IF($A391="","",C391+F391)</f>
        <v/>
      </c>
      <c r="H391">
        <f>IF($A391="","",SUMIFS(Contributions!E:E,Contributions!C:C,$B391,Contributions!F:F,"Reinvest",Contributions!G:G,$A391))</f>
        <v/>
      </c>
      <c r="I391">
        <f>IF($A391="","",G391-H391)</f>
        <v/>
      </c>
    </row>
    <row r="392">
      <c r="C392">
        <f>IF($A392="","",SUMIFS(Contributions!E:E,Contributions!B:B,$A392,Contributions!C:C,$B392))</f>
        <v/>
      </c>
      <c r="D392">
        <f>IF($A392="","",SUMIFS(Contributions!E:E,Contributions!B:B,$A392))</f>
        <v/>
      </c>
      <c r="E392">
        <f>IF($A392="","",XLOOKUP($A392,Returns!A:A,Returns!E:E))</f>
        <v/>
      </c>
      <c r="F392">
        <f>IF(OR($A392="",D392=0),"",C392/D392*E392)</f>
        <v/>
      </c>
      <c r="G392">
        <f>IF($A392="","",C392+F392)</f>
        <v/>
      </c>
      <c r="H392">
        <f>IF($A392="","",SUMIFS(Contributions!E:E,Contributions!C:C,$B392,Contributions!F:F,"Reinvest",Contributions!G:G,$A392))</f>
        <v/>
      </c>
      <c r="I392">
        <f>IF($A392="","",G392-H392)</f>
        <v/>
      </c>
    </row>
    <row r="393">
      <c r="C393">
        <f>IF($A393="","",SUMIFS(Contributions!E:E,Contributions!B:B,$A393,Contributions!C:C,$B393))</f>
        <v/>
      </c>
      <c r="D393">
        <f>IF($A393="","",SUMIFS(Contributions!E:E,Contributions!B:B,$A393))</f>
        <v/>
      </c>
      <c r="E393">
        <f>IF($A393="","",XLOOKUP($A393,Returns!A:A,Returns!E:E))</f>
        <v/>
      </c>
      <c r="F393">
        <f>IF(OR($A393="",D393=0),"",C393/D393*E393)</f>
        <v/>
      </c>
      <c r="G393">
        <f>IF($A393="","",C393+F393)</f>
        <v/>
      </c>
      <c r="H393">
        <f>IF($A393="","",SUMIFS(Contributions!E:E,Contributions!C:C,$B393,Contributions!F:F,"Reinvest",Contributions!G:G,$A393))</f>
        <v/>
      </c>
      <c r="I393">
        <f>IF($A393="","",G393-H393)</f>
        <v/>
      </c>
    </row>
    <row r="394">
      <c r="C394">
        <f>IF($A394="","",SUMIFS(Contributions!E:E,Contributions!B:B,$A394,Contributions!C:C,$B394))</f>
        <v/>
      </c>
      <c r="D394">
        <f>IF($A394="","",SUMIFS(Contributions!E:E,Contributions!B:B,$A394))</f>
        <v/>
      </c>
      <c r="E394">
        <f>IF($A394="","",XLOOKUP($A394,Returns!A:A,Returns!E:E))</f>
        <v/>
      </c>
      <c r="F394">
        <f>IF(OR($A394="",D394=0),"",C394/D394*E394)</f>
        <v/>
      </c>
      <c r="G394">
        <f>IF($A394="","",C394+F394)</f>
        <v/>
      </c>
      <c r="H394">
        <f>IF($A394="","",SUMIFS(Contributions!E:E,Contributions!C:C,$B394,Contributions!F:F,"Reinvest",Contributions!G:G,$A394))</f>
        <v/>
      </c>
      <c r="I394">
        <f>IF($A394="","",G394-H394)</f>
        <v/>
      </c>
    </row>
    <row r="395">
      <c r="C395">
        <f>IF($A395="","",SUMIFS(Contributions!E:E,Contributions!B:B,$A395,Contributions!C:C,$B395))</f>
        <v/>
      </c>
      <c r="D395">
        <f>IF($A395="","",SUMIFS(Contributions!E:E,Contributions!B:B,$A395))</f>
        <v/>
      </c>
      <c r="E395">
        <f>IF($A395="","",XLOOKUP($A395,Returns!A:A,Returns!E:E))</f>
        <v/>
      </c>
      <c r="F395">
        <f>IF(OR($A395="",D395=0),"",C395/D395*E395)</f>
        <v/>
      </c>
      <c r="G395">
        <f>IF($A395="","",C395+F395)</f>
        <v/>
      </c>
      <c r="H395">
        <f>IF($A395="","",SUMIFS(Contributions!E:E,Contributions!C:C,$B395,Contributions!F:F,"Reinvest",Contributions!G:G,$A395))</f>
        <v/>
      </c>
      <c r="I395">
        <f>IF($A395="","",G395-H395)</f>
        <v/>
      </c>
    </row>
    <row r="396">
      <c r="C396">
        <f>IF($A396="","",SUMIFS(Contributions!E:E,Contributions!B:B,$A396,Contributions!C:C,$B396))</f>
        <v/>
      </c>
      <c r="D396">
        <f>IF($A396="","",SUMIFS(Contributions!E:E,Contributions!B:B,$A396))</f>
        <v/>
      </c>
      <c r="E396">
        <f>IF($A396="","",XLOOKUP($A396,Returns!A:A,Returns!E:E))</f>
        <v/>
      </c>
      <c r="F396">
        <f>IF(OR($A396="",D396=0),"",C396/D396*E396)</f>
        <v/>
      </c>
      <c r="G396">
        <f>IF($A396="","",C396+F396)</f>
        <v/>
      </c>
      <c r="H396">
        <f>IF($A396="","",SUMIFS(Contributions!E:E,Contributions!C:C,$B396,Contributions!F:F,"Reinvest",Contributions!G:G,$A396))</f>
        <v/>
      </c>
      <c r="I396">
        <f>IF($A396="","",G396-H396)</f>
        <v/>
      </c>
    </row>
    <row r="397">
      <c r="C397">
        <f>IF($A397="","",SUMIFS(Contributions!E:E,Contributions!B:B,$A397,Contributions!C:C,$B397))</f>
        <v/>
      </c>
      <c r="D397">
        <f>IF($A397="","",SUMIFS(Contributions!E:E,Contributions!B:B,$A397))</f>
        <v/>
      </c>
      <c r="E397">
        <f>IF($A397="","",XLOOKUP($A397,Returns!A:A,Returns!E:E))</f>
        <v/>
      </c>
      <c r="F397">
        <f>IF(OR($A397="",D397=0),"",C397/D397*E397)</f>
        <v/>
      </c>
      <c r="G397">
        <f>IF($A397="","",C397+F397)</f>
        <v/>
      </c>
      <c r="H397">
        <f>IF($A397="","",SUMIFS(Contributions!E:E,Contributions!C:C,$B397,Contributions!F:F,"Reinvest",Contributions!G:G,$A397))</f>
        <v/>
      </c>
      <c r="I397">
        <f>IF($A397="","",G397-H397)</f>
        <v/>
      </c>
    </row>
    <row r="398">
      <c r="C398">
        <f>IF($A398="","",SUMIFS(Contributions!E:E,Contributions!B:B,$A398,Contributions!C:C,$B398))</f>
        <v/>
      </c>
      <c r="D398">
        <f>IF($A398="","",SUMIFS(Contributions!E:E,Contributions!B:B,$A398))</f>
        <v/>
      </c>
      <c r="E398">
        <f>IF($A398="","",XLOOKUP($A398,Returns!A:A,Returns!E:E))</f>
        <v/>
      </c>
      <c r="F398">
        <f>IF(OR($A398="",D398=0),"",C398/D398*E398)</f>
        <v/>
      </c>
      <c r="G398">
        <f>IF($A398="","",C398+F398)</f>
        <v/>
      </c>
      <c r="H398">
        <f>IF($A398="","",SUMIFS(Contributions!E:E,Contributions!C:C,$B398,Contributions!F:F,"Reinvest",Contributions!G:G,$A398))</f>
        <v/>
      </c>
      <c r="I398">
        <f>IF($A398="","",G398-H398)</f>
        <v/>
      </c>
    </row>
    <row r="399">
      <c r="C399">
        <f>IF($A399="","",SUMIFS(Contributions!E:E,Contributions!B:B,$A399,Contributions!C:C,$B399))</f>
        <v/>
      </c>
      <c r="D399">
        <f>IF($A399="","",SUMIFS(Contributions!E:E,Contributions!B:B,$A399))</f>
        <v/>
      </c>
      <c r="E399">
        <f>IF($A399="","",XLOOKUP($A399,Returns!A:A,Returns!E:E))</f>
        <v/>
      </c>
      <c r="F399">
        <f>IF(OR($A399="",D399=0),"",C399/D399*E399)</f>
        <v/>
      </c>
      <c r="G399">
        <f>IF($A399="","",C399+F399)</f>
        <v/>
      </c>
      <c r="H399">
        <f>IF($A399="","",SUMIFS(Contributions!E:E,Contributions!C:C,$B399,Contributions!F:F,"Reinvest",Contributions!G:G,$A399))</f>
        <v/>
      </c>
      <c r="I399">
        <f>IF($A399="","",G399-H399)</f>
        <v/>
      </c>
    </row>
    <row r="400">
      <c r="C400">
        <f>IF($A400="","",SUMIFS(Contributions!E:E,Contributions!B:B,$A400,Contributions!C:C,$B400))</f>
        <v/>
      </c>
      <c r="D400">
        <f>IF($A400="","",SUMIFS(Contributions!E:E,Contributions!B:B,$A400))</f>
        <v/>
      </c>
      <c r="E400">
        <f>IF($A400="","",XLOOKUP($A400,Returns!A:A,Returns!E:E))</f>
        <v/>
      </c>
      <c r="F400">
        <f>IF(OR($A400="",D400=0),"",C400/D400*E400)</f>
        <v/>
      </c>
      <c r="G400">
        <f>IF($A400="","",C400+F400)</f>
        <v/>
      </c>
      <c r="H400">
        <f>IF($A400="","",SUMIFS(Contributions!E:E,Contributions!C:C,$B400,Contributions!F:F,"Reinvest",Contributions!G:G,$A400))</f>
        <v/>
      </c>
      <c r="I400">
        <f>IF($A400="","",G400-H400)</f>
        <v/>
      </c>
    </row>
    <row r="401">
      <c r="C401">
        <f>IF($A401="","",SUMIFS(Contributions!E:E,Contributions!B:B,$A401,Contributions!C:C,$B401))</f>
        <v/>
      </c>
      <c r="D401">
        <f>IF($A401="","",SUMIFS(Contributions!E:E,Contributions!B:B,$A401))</f>
        <v/>
      </c>
      <c r="E401">
        <f>IF($A401="","",XLOOKUP($A401,Returns!A:A,Returns!E:E))</f>
        <v/>
      </c>
      <c r="F401">
        <f>IF(OR($A401="",D401=0),"",C401/D401*E401)</f>
        <v/>
      </c>
      <c r="G401">
        <f>IF($A401="","",C401+F401)</f>
        <v/>
      </c>
      <c r="H401">
        <f>IF($A401="","",SUMIFS(Contributions!E:E,Contributions!C:C,$B401,Contributions!F:F,"Reinvest",Contributions!G:G,$A401))</f>
        <v/>
      </c>
      <c r="I401">
        <f>IF($A401="","",G401-H401)</f>
        <v/>
      </c>
    </row>
    <row r="402">
      <c r="C402">
        <f>IF($A402="","",SUMIFS(Contributions!E:E,Contributions!B:B,$A402,Contributions!C:C,$B402))</f>
        <v/>
      </c>
      <c r="D402">
        <f>IF($A402="","",SUMIFS(Contributions!E:E,Contributions!B:B,$A402))</f>
        <v/>
      </c>
      <c r="E402">
        <f>IF($A402="","",XLOOKUP($A402,Returns!A:A,Returns!E:E))</f>
        <v/>
      </c>
      <c r="F402">
        <f>IF(OR($A402="",D402=0),"",C402/D402*E402)</f>
        <v/>
      </c>
      <c r="G402">
        <f>IF($A402="","",C402+F402)</f>
        <v/>
      </c>
      <c r="H402">
        <f>IF($A402="","",SUMIFS(Contributions!E:E,Contributions!C:C,$B402,Contributions!F:F,"Reinvest",Contributions!G:G,$A402))</f>
        <v/>
      </c>
      <c r="I402">
        <f>IF($A402="","",G402-H402)</f>
        <v/>
      </c>
    </row>
    <row r="403">
      <c r="C403">
        <f>IF($A403="","",SUMIFS(Contributions!E:E,Contributions!B:B,$A403,Contributions!C:C,$B403))</f>
        <v/>
      </c>
      <c r="D403">
        <f>IF($A403="","",SUMIFS(Contributions!E:E,Contributions!B:B,$A403))</f>
        <v/>
      </c>
      <c r="E403">
        <f>IF($A403="","",XLOOKUP($A403,Returns!A:A,Returns!E:E))</f>
        <v/>
      </c>
      <c r="F403">
        <f>IF(OR($A403="",D403=0),"",C403/D403*E403)</f>
        <v/>
      </c>
      <c r="G403">
        <f>IF($A403="","",C403+F403)</f>
        <v/>
      </c>
      <c r="H403">
        <f>IF($A403="","",SUMIFS(Contributions!E:E,Contributions!C:C,$B403,Contributions!F:F,"Reinvest",Contributions!G:G,$A403))</f>
        <v/>
      </c>
      <c r="I403">
        <f>IF($A403="","",G403-H403)</f>
        <v/>
      </c>
    </row>
    <row r="404">
      <c r="C404">
        <f>IF($A404="","",SUMIFS(Contributions!E:E,Contributions!B:B,$A404,Contributions!C:C,$B404))</f>
        <v/>
      </c>
      <c r="D404">
        <f>IF($A404="","",SUMIFS(Contributions!E:E,Contributions!B:B,$A404))</f>
        <v/>
      </c>
      <c r="E404">
        <f>IF($A404="","",XLOOKUP($A404,Returns!A:A,Returns!E:E))</f>
        <v/>
      </c>
      <c r="F404">
        <f>IF(OR($A404="",D404=0),"",C404/D404*E404)</f>
        <v/>
      </c>
      <c r="G404">
        <f>IF($A404="","",C404+F404)</f>
        <v/>
      </c>
      <c r="H404">
        <f>IF($A404="","",SUMIFS(Contributions!E:E,Contributions!C:C,$B404,Contributions!F:F,"Reinvest",Contributions!G:G,$A404))</f>
        <v/>
      </c>
      <c r="I404">
        <f>IF($A404="","",G404-H404)</f>
        <v/>
      </c>
    </row>
    <row r="405">
      <c r="C405">
        <f>IF($A405="","",SUMIFS(Contributions!E:E,Contributions!B:B,$A405,Contributions!C:C,$B405))</f>
        <v/>
      </c>
      <c r="D405">
        <f>IF($A405="","",SUMIFS(Contributions!E:E,Contributions!B:B,$A405))</f>
        <v/>
      </c>
      <c r="E405">
        <f>IF($A405="","",XLOOKUP($A405,Returns!A:A,Returns!E:E))</f>
        <v/>
      </c>
      <c r="F405">
        <f>IF(OR($A405="",D405=0),"",C405/D405*E405)</f>
        <v/>
      </c>
      <c r="G405">
        <f>IF($A405="","",C405+F405)</f>
        <v/>
      </c>
      <c r="H405">
        <f>IF($A405="","",SUMIFS(Contributions!E:E,Contributions!C:C,$B405,Contributions!F:F,"Reinvest",Contributions!G:G,$A405))</f>
        <v/>
      </c>
      <c r="I405">
        <f>IF($A405="","",G405-H405)</f>
        <v/>
      </c>
    </row>
    <row r="406">
      <c r="C406">
        <f>IF($A406="","",SUMIFS(Contributions!E:E,Contributions!B:B,$A406,Contributions!C:C,$B406))</f>
        <v/>
      </c>
      <c r="D406">
        <f>IF($A406="","",SUMIFS(Contributions!E:E,Contributions!B:B,$A406))</f>
        <v/>
      </c>
      <c r="E406">
        <f>IF($A406="","",XLOOKUP($A406,Returns!A:A,Returns!E:E))</f>
        <v/>
      </c>
      <c r="F406">
        <f>IF(OR($A406="",D406=0),"",C406/D406*E406)</f>
        <v/>
      </c>
      <c r="G406">
        <f>IF($A406="","",C406+F406)</f>
        <v/>
      </c>
      <c r="H406">
        <f>IF($A406="","",SUMIFS(Contributions!E:E,Contributions!C:C,$B406,Contributions!F:F,"Reinvest",Contributions!G:G,$A406))</f>
        <v/>
      </c>
      <c r="I406">
        <f>IF($A406="","",G406-H406)</f>
        <v/>
      </c>
    </row>
    <row r="407">
      <c r="C407">
        <f>IF($A407="","",SUMIFS(Contributions!E:E,Contributions!B:B,$A407,Contributions!C:C,$B407))</f>
        <v/>
      </c>
      <c r="D407">
        <f>IF($A407="","",SUMIFS(Contributions!E:E,Contributions!B:B,$A407))</f>
        <v/>
      </c>
      <c r="E407">
        <f>IF($A407="","",XLOOKUP($A407,Returns!A:A,Returns!E:E))</f>
        <v/>
      </c>
      <c r="F407">
        <f>IF(OR($A407="",D407=0),"",C407/D407*E407)</f>
        <v/>
      </c>
      <c r="G407">
        <f>IF($A407="","",C407+F407)</f>
        <v/>
      </c>
      <c r="H407">
        <f>IF($A407="","",SUMIFS(Contributions!E:E,Contributions!C:C,$B407,Contributions!F:F,"Reinvest",Contributions!G:G,$A407))</f>
        <v/>
      </c>
      <c r="I407">
        <f>IF($A407="","",G407-H407)</f>
        <v/>
      </c>
    </row>
    <row r="408">
      <c r="C408">
        <f>IF($A408="","",SUMIFS(Contributions!E:E,Contributions!B:B,$A408,Contributions!C:C,$B408))</f>
        <v/>
      </c>
      <c r="D408">
        <f>IF($A408="","",SUMIFS(Contributions!E:E,Contributions!B:B,$A408))</f>
        <v/>
      </c>
      <c r="E408">
        <f>IF($A408="","",XLOOKUP($A408,Returns!A:A,Returns!E:E))</f>
        <v/>
      </c>
      <c r="F408">
        <f>IF(OR($A408="",D408=0),"",C408/D408*E408)</f>
        <v/>
      </c>
      <c r="G408">
        <f>IF($A408="","",C408+F408)</f>
        <v/>
      </c>
      <c r="H408">
        <f>IF($A408="","",SUMIFS(Contributions!E:E,Contributions!C:C,$B408,Contributions!F:F,"Reinvest",Contributions!G:G,$A408))</f>
        <v/>
      </c>
      <c r="I408">
        <f>IF($A408="","",G408-H408)</f>
        <v/>
      </c>
    </row>
    <row r="409">
      <c r="C409">
        <f>IF($A409="","",SUMIFS(Contributions!E:E,Contributions!B:B,$A409,Contributions!C:C,$B409))</f>
        <v/>
      </c>
      <c r="D409">
        <f>IF($A409="","",SUMIFS(Contributions!E:E,Contributions!B:B,$A409))</f>
        <v/>
      </c>
      <c r="E409">
        <f>IF($A409="","",XLOOKUP($A409,Returns!A:A,Returns!E:E))</f>
        <v/>
      </c>
      <c r="F409">
        <f>IF(OR($A409="",D409=0),"",C409/D409*E409)</f>
        <v/>
      </c>
      <c r="G409">
        <f>IF($A409="","",C409+F409)</f>
        <v/>
      </c>
      <c r="H409">
        <f>IF($A409="","",SUMIFS(Contributions!E:E,Contributions!C:C,$B409,Contributions!F:F,"Reinvest",Contributions!G:G,$A409))</f>
        <v/>
      </c>
      <c r="I409">
        <f>IF($A409="","",G409-H409)</f>
        <v/>
      </c>
    </row>
    <row r="410">
      <c r="C410">
        <f>IF($A410="","",SUMIFS(Contributions!E:E,Contributions!B:B,$A410,Contributions!C:C,$B410))</f>
        <v/>
      </c>
      <c r="D410">
        <f>IF($A410="","",SUMIFS(Contributions!E:E,Contributions!B:B,$A410))</f>
        <v/>
      </c>
      <c r="E410">
        <f>IF($A410="","",XLOOKUP($A410,Returns!A:A,Returns!E:E))</f>
        <v/>
      </c>
      <c r="F410">
        <f>IF(OR($A410="",D410=0),"",C410/D410*E410)</f>
        <v/>
      </c>
      <c r="G410">
        <f>IF($A410="","",C410+F410)</f>
        <v/>
      </c>
      <c r="H410">
        <f>IF($A410="","",SUMIFS(Contributions!E:E,Contributions!C:C,$B410,Contributions!F:F,"Reinvest",Contributions!G:G,$A410))</f>
        <v/>
      </c>
      <c r="I410">
        <f>IF($A410="","",G410-H410)</f>
        <v/>
      </c>
    </row>
    <row r="411">
      <c r="C411">
        <f>IF($A411="","",SUMIFS(Contributions!E:E,Contributions!B:B,$A411,Contributions!C:C,$B411))</f>
        <v/>
      </c>
      <c r="D411">
        <f>IF($A411="","",SUMIFS(Contributions!E:E,Contributions!B:B,$A411))</f>
        <v/>
      </c>
      <c r="E411">
        <f>IF($A411="","",XLOOKUP($A411,Returns!A:A,Returns!E:E))</f>
        <v/>
      </c>
      <c r="F411">
        <f>IF(OR($A411="",D411=0),"",C411/D411*E411)</f>
        <v/>
      </c>
      <c r="G411">
        <f>IF($A411="","",C411+F411)</f>
        <v/>
      </c>
      <c r="H411">
        <f>IF($A411="","",SUMIFS(Contributions!E:E,Contributions!C:C,$B411,Contributions!F:F,"Reinvest",Contributions!G:G,$A411))</f>
        <v/>
      </c>
      <c r="I411">
        <f>IF($A411="","",G411-H411)</f>
        <v/>
      </c>
    </row>
    <row r="412">
      <c r="C412">
        <f>IF($A412="","",SUMIFS(Contributions!E:E,Contributions!B:B,$A412,Contributions!C:C,$B412))</f>
        <v/>
      </c>
      <c r="D412">
        <f>IF($A412="","",SUMIFS(Contributions!E:E,Contributions!B:B,$A412))</f>
        <v/>
      </c>
      <c r="E412">
        <f>IF($A412="","",XLOOKUP($A412,Returns!A:A,Returns!E:E))</f>
        <v/>
      </c>
      <c r="F412">
        <f>IF(OR($A412="",D412=0),"",C412/D412*E412)</f>
        <v/>
      </c>
      <c r="G412">
        <f>IF($A412="","",C412+F412)</f>
        <v/>
      </c>
      <c r="H412">
        <f>IF($A412="","",SUMIFS(Contributions!E:E,Contributions!C:C,$B412,Contributions!F:F,"Reinvest",Contributions!G:G,$A412))</f>
        <v/>
      </c>
      <c r="I412">
        <f>IF($A412="","",G412-H412)</f>
        <v/>
      </c>
    </row>
    <row r="413">
      <c r="C413">
        <f>IF($A413="","",SUMIFS(Contributions!E:E,Contributions!B:B,$A413,Contributions!C:C,$B413))</f>
        <v/>
      </c>
      <c r="D413">
        <f>IF($A413="","",SUMIFS(Contributions!E:E,Contributions!B:B,$A413))</f>
        <v/>
      </c>
      <c r="E413">
        <f>IF($A413="","",XLOOKUP($A413,Returns!A:A,Returns!E:E))</f>
        <v/>
      </c>
      <c r="F413">
        <f>IF(OR($A413="",D413=0),"",C413/D413*E413)</f>
        <v/>
      </c>
      <c r="G413">
        <f>IF($A413="","",C413+F413)</f>
        <v/>
      </c>
      <c r="H413">
        <f>IF($A413="","",SUMIFS(Contributions!E:E,Contributions!C:C,$B413,Contributions!F:F,"Reinvest",Contributions!G:G,$A413))</f>
        <v/>
      </c>
      <c r="I413">
        <f>IF($A413="","",G413-H413)</f>
        <v/>
      </c>
    </row>
    <row r="414">
      <c r="C414">
        <f>IF($A414="","",SUMIFS(Contributions!E:E,Contributions!B:B,$A414,Contributions!C:C,$B414))</f>
        <v/>
      </c>
      <c r="D414">
        <f>IF($A414="","",SUMIFS(Contributions!E:E,Contributions!B:B,$A414))</f>
        <v/>
      </c>
      <c r="E414">
        <f>IF($A414="","",XLOOKUP($A414,Returns!A:A,Returns!E:E))</f>
        <v/>
      </c>
      <c r="F414">
        <f>IF(OR($A414="",D414=0),"",C414/D414*E414)</f>
        <v/>
      </c>
      <c r="G414">
        <f>IF($A414="","",C414+F414)</f>
        <v/>
      </c>
      <c r="H414">
        <f>IF($A414="","",SUMIFS(Contributions!E:E,Contributions!C:C,$B414,Contributions!F:F,"Reinvest",Contributions!G:G,$A414))</f>
        <v/>
      </c>
      <c r="I414">
        <f>IF($A414="","",G414-H414)</f>
        <v/>
      </c>
    </row>
    <row r="415">
      <c r="C415">
        <f>IF($A415="","",SUMIFS(Contributions!E:E,Contributions!B:B,$A415,Contributions!C:C,$B415))</f>
        <v/>
      </c>
      <c r="D415">
        <f>IF($A415="","",SUMIFS(Contributions!E:E,Contributions!B:B,$A415))</f>
        <v/>
      </c>
      <c r="E415">
        <f>IF($A415="","",XLOOKUP($A415,Returns!A:A,Returns!E:E))</f>
        <v/>
      </c>
      <c r="F415">
        <f>IF(OR($A415="",D415=0),"",C415/D415*E415)</f>
        <v/>
      </c>
      <c r="G415">
        <f>IF($A415="","",C415+F415)</f>
        <v/>
      </c>
      <c r="H415">
        <f>IF($A415="","",SUMIFS(Contributions!E:E,Contributions!C:C,$B415,Contributions!F:F,"Reinvest",Contributions!G:G,$A415))</f>
        <v/>
      </c>
      <c r="I415">
        <f>IF($A415="","",G415-H415)</f>
        <v/>
      </c>
    </row>
    <row r="416">
      <c r="C416">
        <f>IF($A416="","",SUMIFS(Contributions!E:E,Contributions!B:B,$A416,Contributions!C:C,$B416))</f>
        <v/>
      </c>
      <c r="D416">
        <f>IF($A416="","",SUMIFS(Contributions!E:E,Contributions!B:B,$A416))</f>
        <v/>
      </c>
      <c r="E416">
        <f>IF($A416="","",XLOOKUP($A416,Returns!A:A,Returns!E:E))</f>
        <v/>
      </c>
      <c r="F416">
        <f>IF(OR($A416="",D416=0),"",C416/D416*E416)</f>
        <v/>
      </c>
      <c r="G416">
        <f>IF($A416="","",C416+F416)</f>
        <v/>
      </c>
      <c r="H416">
        <f>IF($A416="","",SUMIFS(Contributions!E:E,Contributions!C:C,$B416,Contributions!F:F,"Reinvest",Contributions!G:G,$A416))</f>
        <v/>
      </c>
      <c r="I416">
        <f>IF($A416="","",G416-H416)</f>
        <v/>
      </c>
    </row>
    <row r="417">
      <c r="C417">
        <f>IF($A417="","",SUMIFS(Contributions!E:E,Contributions!B:B,$A417,Contributions!C:C,$B417))</f>
        <v/>
      </c>
      <c r="D417">
        <f>IF($A417="","",SUMIFS(Contributions!E:E,Contributions!B:B,$A417))</f>
        <v/>
      </c>
      <c r="E417">
        <f>IF($A417="","",XLOOKUP($A417,Returns!A:A,Returns!E:E))</f>
        <v/>
      </c>
      <c r="F417">
        <f>IF(OR($A417="",D417=0),"",C417/D417*E417)</f>
        <v/>
      </c>
      <c r="G417">
        <f>IF($A417="","",C417+F417)</f>
        <v/>
      </c>
      <c r="H417">
        <f>IF($A417="","",SUMIFS(Contributions!E:E,Contributions!C:C,$B417,Contributions!F:F,"Reinvest",Contributions!G:G,$A417))</f>
        <v/>
      </c>
      <c r="I417">
        <f>IF($A417="","",G417-H417)</f>
        <v/>
      </c>
    </row>
    <row r="418">
      <c r="C418">
        <f>IF($A418="","",SUMIFS(Contributions!E:E,Contributions!B:B,$A418,Contributions!C:C,$B418))</f>
        <v/>
      </c>
      <c r="D418">
        <f>IF($A418="","",SUMIFS(Contributions!E:E,Contributions!B:B,$A418))</f>
        <v/>
      </c>
      <c r="E418">
        <f>IF($A418="","",XLOOKUP($A418,Returns!A:A,Returns!E:E))</f>
        <v/>
      </c>
      <c r="F418">
        <f>IF(OR($A418="",D418=0),"",C418/D418*E418)</f>
        <v/>
      </c>
      <c r="G418">
        <f>IF($A418="","",C418+F418)</f>
        <v/>
      </c>
      <c r="H418">
        <f>IF($A418="","",SUMIFS(Contributions!E:E,Contributions!C:C,$B418,Contributions!F:F,"Reinvest",Contributions!G:G,$A418))</f>
        <v/>
      </c>
      <c r="I418">
        <f>IF($A418="","",G418-H418)</f>
        <v/>
      </c>
    </row>
    <row r="419">
      <c r="C419">
        <f>IF($A419="","",SUMIFS(Contributions!E:E,Contributions!B:B,$A419,Contributions!C:C,$B419))</f>
        <v/>
      </c>
      <c r="D419">
        <f>IF($A419="","",SUMIFS(Contributions!E:E,Contributions!B:B,$A419))</f>
        <v/>
      </c>
      <c r="E419">
        <f>IF($A419="","",XLOOKUP($A419,Returns!A:A,Returns!E:E))</f>
        <v/>
      </c>
      <c r="F419">
        <f>IF(OR($A419="",D419=0),"",C419/D419*E419)</f>
        <v/>
      </c>
      <c r="G419">
        <f>IF($A419="","",C419+F419)</f>
        <v/>
      </c>
      <c r="H419">
        <f>IF($A419="","",SUMIFS(Contributions!E:E,Contributions!C:C,$B419,Contributions!F:F,"Reinvest",Contributions!G:G,$A419))</f>
        <v/>
      </c>
      <c r="I419">
        <f>IF($A419="","",G419-H419)</f>
        <v/>
      </c>
    </row>
    <row r="420">
      <c r="C420">
        <f>IF($A420="","",SUMIFS(Contributions!E:E,Contributions!B:B,$A420,Contributions!C:C,$B420))</f>
        <v/>
      </c>
      <c r="D420">
        <f>IF($A420="","",SUMIFS(Contributions!E:E,Contributions!B:B,$A420))</f>
        <v/>
      </c>
      <c r="E420">
        <f>IF($A420="","",XLOOKUP($A420,Returns!A:A,Returns!E:E))</f>
        <v/>
      </c>
      <c r="F420">
        <f>IF(OR($A420="",D420=0),"",C420/D420*E420)</f>
        <v/>
      </c>
      <c r="G420">
        <f>IF($A420="","",C420+F420)</f>
        <v/>
      </c>
      <c r="H420">
        <f>IF($A420="","",SUMIFS(Contributions!E:E,Contributions!C:C,$B420,Contributions!F:F,"Reinvest",Contributions!G:G,$A420))</f>
        <v/>
      </c>
      <c r="I420">
        <f>IF($A420="","",G420-H420)</f>
        <v/>
      </c>
    </row>
    <row r="421">
      <c r="C421">
        <f>IF($A421="","",SUMIFS(Contributions!E:E,Contributions!B:B,$A421,Contributions!C:C,$B421))</f>
        <v/>
      </c>
      <c r="D421">
        <f>IF($A421="","",SUMIFS(Contributions!E:E,Contributions!B:B,$A421))</f>
        <v/>
      </c>
      <c r="E421">
        <f>IF($A421="","",XLOOKUP($A421,Returns!A:A,Returns!E:E))</f>
        <v/>
      </c>
      <c r="F421">
        <f>IF(OR($A421="",D421=0),"",C421/D421*E421)</f>
        <v/>
      </c>
      <c r="G421">
        <f>IF($A421="","",C421+F421)</f>
        <v/>
      </c>
      <c r="H421">
        <f>IF($A421="","",SUMIFS(Contributions!E:E,Contributions!C:C,$B421,Contributions!F:F,"Reinvest",Contributions!G:G,$A421))</f>
        <v/>
      </c>
      <c r="I421">
        <f>IF($A421="","",G421-H421)</f>
        <v/>
      </c>
    </row>
    <row r="422">
      <c r="C422">
        <f>IF($A422="","",SUMIFS(Contributions!E:E,Contributions!B:B,$A422,Contributions!C:C,$B422))</f>
        <v/>
      </c>
      <c r="D422">
        <f>IF($A422="","",SUMIFS(Contributions!E:E,Contributions!B:B,$A422))</f>
        <v/>
      </c>
      <c r="E422">
        <f>IF($A422="","",XLOOKUP($A422,Returns!A:A,Returns!E:E))</f>
        <v/>
      </c>
      <c r="F422">
        <f>IF(OR($A422="",D422=0),"",C422/D422*E422)</f>
        <v/>
      </c>
      <c r="G422">
        <f>IF($A422="","",C422+F422)</f>
        <v/>
      </c>
      <c r="H422">
        <f>IF($A422="","",SUMIFS(Contributions!E:E,Contributions!C:C,$B422,Contributions!F:F,"Reinvest",Contributions!G:G,$A422))</f>
        <v/>
      </c>
      <c r="I422">
        <f>IF($A422="","",G422-H422)</f>
        <v/>
      </c>
    </row>
    <row r="423">
      <c r="C423">
        <f>IF($A423="","",SUMIFS(Contributions!E:E,Contributions!B:B,$A423,Contributions!C:C,$B423))</f>
        <v/>
      </c>
      <c r="D423">
        <f>IF($A423="","",SUMIFS(Contributions!E:E,Contributions!B:B,$A423))</f>
        <v/>
      </c>
      <c r="E423">
        <f>IF($A423="","",XLOOKUP($A423,Returns!A:A,Returns!E:E))</f>
        <v/>
      </c>
      <c r="F423">
        <f>IF(OR($A423="",D423=0),"",C423/D423*E423)</f>
        <v/>
      </c>
      <c r="G423">
        <f>IF($A423="","",C423+F423)</f>
        <v/>
      </c>
      <c r="H423">
        <f>IF($A423="","",SUMIFS(Contributions!E:E,Contributions!C:C,$B423,Contributions!F:F,"Reinvest",Contributions!G:G,$A423))</f>
        <v/>
      </c>
      <c r="I423">
        <f>IF($A423="","",G423-H423)</f>
        <v/>
      </c>
    </row>
    <row r="424">
      <c r="C424">
        <f>IF($A424="","",SUMIFS(Contributions!E:E,Contributions!B:B,$A424,Contributions!C:C,$B424))</f>
        <v/>
      </c>
      <c r="D424">
        <f>IF($A424="","",SUMIFS(Contributions!E:E,Contributions!B:B,$A424))</f>
        <v/>
      </c>
      <c r="E424">
        <f>IF($A424="","",XLOOKUP($A424,Returns!A:A,Returns!E:E))</f>
        <v/>
      </c>
      <c r="F424">
        <f>IF(OR($A424="",D424=0),"",C424/D424*E424)</f>
        <v/>
      </c>
      <c r="G424">
        <f>IF($A424="","",C424+F424)</f>
        <v/>
      </c>
      <c r="H424">
        <f>IF($A424="","",SUMIFS(Contributions!E:E,Contributions!C:C,$B424,Contributions!F:F,"Reinvest",Contributions!G:G,$A424))</f>
        <v/>
      </c>
      <c r="I424">
        <f>IF($A424="","",G424-H424)</f>
        <v/>
      </c>
    </row>
    <row r="425">
      <c r="C425">
        <f>IF($A425="","",SUMIFS(Contributions!E:E,Contributions!B:B,$A425,Contributions!C:C,$B425))</f>
        <v/>
      </c>
      <c r="D425">
        <f>IF($A425="","",SUMIFS(Contributions!E:E,Contributions!B:B,$A425))</f>
        <v/>
      </c>
      <c r="E425">
        <f>IF($A425="","",XLOOKUP($A425,Returns!A:A,Returns!E:E))</f>
        <v/>
      </c>
      <c r="F425">
        <f>IF(OR($A425="",D425=0),"",C425/D425*E425)</f>
        <v/>
      </c>
      <c r="G425">
        <f>IF($A425="","",C425+F425)</f>
        <v/>
      </c>
      <c r="H425">
        <f>IF($A425="","",SUMIFS(Contributions!E:E,Contributions!C:C,$B425,Contributions!F:F,"Reinvest",Contributions!G:G,$A425))</f>
        <v/>
      </c>
      <c r="I425">
        <f>IF($A425="","",G425-H425)</f>
        <v/>
      </c>
    </row>
    <row r="426">
      <c r="C426">
        <f>IF($A426="","",SUMIFS(Contributions!E:E,Contributions!B:B,$A426,Contributions!C:C,$B426))</f>
        <v/>
      </c>
      <c r="D426">
        <f>IF($A426="","",SUMIFS(Contributions!E:E,Contributions!B:B,$A426))</f>
        <v/>
      </c>
      <c r="E426">
        <f>IF($A426="","",XLOOKUP($A426,Returns!A:A,Returns!E:E))</f>
        <v/>
      </c>
      <c r="F426">
        <f>IF(OR($A426="",D426=0),"",C426/D426*E426)</f>
        <v/>
      </c>
      <c r="G426">
        <f>IF($A426="","",C426+F426)</f>
        <v/>
      </c>
      <c r="H426">
        <f>IF($A426="","",SUMIFS(Contributions!E:E,Contributions!C:C,$B426,Contributions!F:F,"Reinvest",Contributions!G:G,$A426))</f>
        <v/>
      </c>
      <c r="I426">
        <f>IF($A426="","",G426-H426)</f>
        <v/>
      </c>
    </row>
    <row r="427">
      <c r="C427">
        <f>IF($A427="","",SUMIFS(Contributions!E:E,Contributions!B:B,$A427,Contributions!C:C,$B427))</f>
        <v/>
      </c>
      <c r="D427">
        <f>IF($A427="","",SUMIFS(Contributions!E:E,Contributions!B:B,$A427))</f>
        <v/>
      </c>
      <c r="E427">
        <f>IF($A427="","",XLOOKUP($A427,Returns!A:A,Returns!E:E))</f>
        <v/>
      </c>
      <c r="F427">
        <f>IF(OR($A427="",D427=0),"",C427/D427*E427)</f>
        <v/>
      </c>
      <c r="G427">
        <f>IF($A427="","",C427+F427)</f>
        <v/>
      </c>
      <c r="H427">
        <f>IF($A427="","",SUMIFS(Contributions!E:E,Contributions!C:C,$B427,Contributions!F:F,"Reinvest",Contributions!G:G,$A427))</f>
        <v/>
      </c>
      <c r="I427">
        <f>IF($A427="","",G427-H427)</f>
        <v/>
      </c>
    </row>
    <row r="428">
      <c r="C428">
        <f>IF($A428="","",SUMIFS(Contributions!E:E,Contributions!B:B,$A428,Contributions!C:C,$B428))</f>
        <v/>
      </c>
      <c r="D428">
        <f>IF($A428="","",SUMIFS(Contributions!E:E,Contributions!B:B,$A428))</f>
        <v/>
      </c>
      <c r="E428">
        <f>IF($A428="","",XLOOKUP($A428,Returns!A:A,Returns!E:E))</f>
        <v/>
      </c>
      <c r="F428">
        <f>IF(OR($A428="",D428=0),"",C428/D428*E428)</f>
        <v/>
      </c>
      <c r="G428">
        <f>IF($A428="","",C428+F428)</f>
        <v/>
      </c>
      <c r="H428">
        <f>IF($A428="","",SUMIFS(Contributions!E:E,Contributions!C:C,$B428,Contributions!F:F,"Reinvest",Contributions!G:G,$A428))</f>
        <v/>
      </c>
      <c r="I428">
        <f>IF($A428="","",G428-H428)</f>
        <v/>
      </c>
    </row>
    <row r="429">
      <c r="C429">
        <f>IF($A429="","",SUMIFS(Contributions!E:E,Contributions!B:B,$A429,Contributions!C:C,$B429))</f>
        <v/>
      </c>
      <c r="D429">
        <f>IF($A429="","",SUMIFS(Contributions!E:E,Contributions!B:B,$A429))</f>
        <v/>
      </c>
      <c r="E429">
        <f>IF($A429="","",XLOOKUP($A429,Returns!A:A,Returns!E:E))</f>
        <v/>
      </c>
      <c r="F429">
        <f>IF(OR($A429="",D429=0),"",C429/D429*E429)</f>
        <v/>
      </c>
      <c r="G429">
        <f>IF($A429="","",C429+F429)</f>
        <v/>
      </c>
      <c r="H429">
        <f>IF($A429="","",SUMIFS(Contributions!E:E,Contributions!C:C,$B429,Contributions!F:F,"Reinvest",Contributions!G:G,$A429))</f>
        <v/>
      </c>
      <c r="I429">
        <f>IF($A429="","",G429-H429)</f>
        <v/>
      </c>
    </row>
    <row r="430">
      <c r="C430">
        <f>IF($A430="","",SUMIFS(Contributions!E:E,Contributions!B:B,$A430,Contributions!C:C,$B430))</f>
        <v/>
      </c>
      <c r="D430">
        <f>IF($A430="","",SUMIFS(Contributions!E:E,Contributions!B:B,$A430))</f>
        <v/>
      </c>
      <c r="E430">
        <f>IF($A430="","",XLOOKUP($A430,Returns!A:A,Returns!E:E))</f>
        <v/>
      </c>
      <c r="F430">
        <f>IF(OR($A430="",D430=0),"",C430/D430*E430)</f>
        <v/>
      </c>
      <c r="G430">
        <f>IF($A430="","",C430+F430)</f>
        <v/>
      </c>
      <c r="H430">
        <f>IF($A430="","",SUMIFS(Contributions!E:E,Contributions!C:C,$B430,Contributions!F:F,"Reinvest",Contributions!G:G,$A430))</f>
        <v/>
      </c>
      <c r="I430">
        <f>IF($A430="","",G430-H430)</f>
        <v/>
      </c>
    </row>
    <row r="431">
      <c r="C431">
        <f>IF($A431="","",SUMIFS(Contributions!E:E,Contributions!B:B,$A431,Contributions!C:C,$B431))</f>
        <v/>
      </c>
      <c r="D431">
        <f>IF($A431="","",SUMIFS(Contributions!E:E,Contributions!B:B,$A431))</f>
        <v/>
      </c>
      <c r="E431">
        <f>IF($A431="","",XLOOKUP($A431,Returns!A:A,Returns!E:E))</f>
        <v/>
      </c>
      <c r="F431">
        <f>IF(OR($A431="",D431=0),"",C431/D431*E431)</f>
        <v/>
      </c>
      <c r="G431">
        <f>IF($A431="","",C431+F431)</f>
        <v/>
      </c>
      <c r="H431">
        <f>IF($A431="","",SUMIFS(Contributions!E:E,Contributions!C:C,$B431,Contributions!F:F,"Reinvest",Contributions!G:G,$A431))</f>
        <v/>
      </c>
      <c r="I431">
        <f>IF($A431="","",G431-H431)</f>
        <v/>
      </c>
    </row>
    <row r="432">
      <c r="C432">
        <f>IF($A432="","",SUMIFS(Contributions!E:E,Contributions!B:B,$A432,Contributions!C:C,$B432))</f>
        <v/>
      </c>
      <c r="D432">
        <f>IF($A432="","",SUMIFS(Contributions!E:E,Contributions!B:B,$A432))</f>
        <v/>
      </c>
      <c r="E432">
        <f>IF($A432="","",XLOOKUP($A432,Returns!A:A,Returns!E:E))</f>
        <v/>
      </c>
      <c r="F432">
        <f>IF(OR($A432="",D432=0),"",C432/D432*E432)</f>
        <v/>
      </c>
      <c r="G432">
        <f>IF($A432="","",C432+F432)</f>
        <v/>
      </c>
      <c r="H432">
        <f>IF($A432="","",SUMIFS(Contributions!E:E,Contributions!C:C,$B432,Contributions!F:F,"Reinvest",Contributions!G:G,$A432))</f>
        <v/>
      </c>
      <c r="I432">
        <f>IF($A432="","",G432-H432)</f>
        <v/>
      </c>
    </row>
    <row r="433">
      <c r="C433">
        <f>IF($A433="","",SUMIFS(Contributions!E:E,Contributions!B:B,$A433,Contributions!C:C,$B433))</f>
        <v/>
      </c>
      <c r="D433">
        <f>IF($A433="","",SUMIFS(Contributions!E:E,Contributions!B:B,$A433))</f>
        <v/>
      </c>
      <c r="E433">
        <f>IF($A433="","",XLOOKUP($A433,Returns!A:A,Returns!E:E))</f>
        <v/>
      </c>
      <c r="F433">
        <f>IF(OR($A433="",D433=0),"",C433/D433*E433)</f>
        <v/>
      </c>
      <c r="G433">
        <f>IF($A433="","",C433+F433)</f>
        <v/>
      </c>
      <c r="H433">
        <f>IF($A433="","",SUMIFS(Contributions!E:E,Contributions!C:C,$B433,Contributions!F:F,"Reinvest",Contributions!G:G,$A433))</f>
        <v/>
      </c>
      <c r="I433">
        <f>IF($A433="","",G433-H433)</f>
        <v/>
      </c>
    </row>
    <row r="434">
      <c r="C434">
        <f>IF($A434="","",SUMIFS(Contributions!E:E,Contributions!B:B,$A434,Contributions!C:C,$B434))</f>
        <v/>
      </c>
      <c r="D434">
        <f>IF($A434="","",SUMIFS(Contributions!E:E,Contributions!B:B,$A434))</f>
        <v/>
      </c>
      <c r="E434">
        <f>IF($A434="","",XLOOKUP($A434,Returns!A:A,Returns!E:E))</f>
        <v/>
      </c>
      <c r="F434">
        <f>IF(OR($A434="",D434=0),"",C434/D434*E434)</f>
        <v/>
      </c>
      <c r="G434">
        <f>IF($A434="","",C434+F434)</f>
        <v/>
      </c>
      <c r="H434">
        <f>IF($A434="","",SUMIFS(Contributions!E:E,Contributions!C:C,$B434,Contributions!F:F,"Reinvest",Contributions!G:G,$A434))</f>
        <v/>
      </c>
      <c r="I434">
        <f>IF($A434="","",G434-H434)</f>
        <v/>
      </c>
    </row>
    <row r="435">
      <c r="C435">
        <f>IF($A435="","",SUMIFS(Contributions!E:E,Contributions!B:B,$A435,Contributions!C:C,$B435))</f>
        <v/>
      </c>
      <c r="D435">
        <f>IF($A435="","",SUMIFS(Contributions!E:E,Contributions!B:B,$A435))</f>
        <v/>
      </c>
      <c r="E435">
        <f>IF($A435="","",XLOOKUP($A435,Returns!A:A,Returns!E:E))</f>
        <v/>
      </c>
      <c r="F435">
        <f>IF(OR($A435="",D435=0),"",C435/D435*E435)</f>
        <v/>
      </c>
      <c r="G435">
        <f>IF($A435="","",C435+F435)</f>
        <v/>
      </c>
      <c r="H435">
        <f>IF($A435="","",SUMIFS(Contributions!E:E,Contributions!C:C,$B435,Contributions!F:F,"Reinvest",Contributions!G:G,$A435))</f>
        <v/>
      </c>
      <c r="I435">
        <f>IF($A435="","",G435-H435)</f>
        <v/>
      </c>
    </row>
    <row r="436">
      <c r="C436">
        <f>IF($A436="","",SUMIFS(Contributions!E:E,Contributions!B:B,$A436,Contributions!C:C,$B436))</f>
        <v/>
      </c>
      <c r="D436">
        <f>IF($A436="","",SUMIFS(Contributions!E:E,Contributions!B:B,$A436))</f>
        <v/>
      </c>
      <c r="E436">
        <f>IF($A436="","",XLOOKUP($A436,Returns!A:A,Returns!E:E))</f>
        <v/>
      </c>
      <c r="F436">
        <f>IF(OR($A436="",D436=0),"",C436/D436*E436)</f>
        <v/>
      </c>
      <c r="G436">
        <f>IF($A436="","",C436+F436)</f>
        <v/>
      </c>
      <c r="H436">
        <f>IF($A436="","",SUMIFS(Contributions!E:E,Contributions!C:C,$B436,Contributions!F:F,"Reinvest",Contributions!G:G,$A436))</f>
        <v/>
      </c>
      <c r="I436">
        <f>IF($A436="","",G436-H436)</f>
        <v/>
      </c>
    </row>
    <row r="437">
      <c r="C437">
        <f>IF($A437="","",SUMIFS(Contributions!E:E,Contributions!B:B,$A437,Contributions!C:C,$B437))</f>
        <v/>
      </c>
      <c r="D437">
        <f>IF($A437="","",SUMIFS(Contributions!E:E,Contributions!B:B,$A437))</f>
        <v/>
      </c>
      <c r="E437">
        <f>IF($A437="","",XLOOKUP($A437,Returns!A:A,Returns!E:E))</f>
        <v/>
      </c>
      <c r="F437">
        <f>IF(OR($A437="",D437=0),"",C437/D437*E437)</f>
        <v/>
      </c>
      <c r="G437">
        <f>IF($A437="","",C437+F437)</f>
        <v/>
      </c>
      <c r="H437">
        <f>IF($A437="","",SUMIFS(Contributions!E:E,Contributions!C:C,$B437,Contributions!F:F,"Reinvest",Contributions!G:G,$A437))</f>
        <v/>
      </c>
      <c r="I437">
        <f>IF($A437="","",G437-H437)</f>
        <v/>
      </c>
    </row>
    <row r="438">
      <c r="C438">
        <f>IF($A438="","",SUMIFS(Contributions!E:E,Contributions!B:B,$A438,Contributions!C:C,$B438))</f>
        <v/>
      </c>
      <c r="D438">
        <f>IF($A438="","",SUMIFS(Contributions!E:E,Contributions!B:B,$A438))</f>
        <v/>
      </c>
      <c r="E438">
        <f>IF($A438="","",XLOOKUP($A438,Returns!A:A,Returns!E:E))</f>
        <v/>
      </c>
      <c r="F438">
        <f>IF(OR($A438="",D438=0),"",C438/D438*E438)</f>
        <v/>
      </c>
      <c r="G438">
        <f>IF($A438="","",C438+F438)</f>
        <v/>
      </c>
      <c r="H438">
        <f>IF($A438="","",SUMIFS(Contributions!E:E,Contributions!C:C,$B438,Contributions!F:F,"Reinvest",Contributions!G:G,$A438))</f>
        <v/>
      </c>
      <c r="I438">
        <f>IF($A438="","",G438-H438)</f>
        <v/>
      </c>
    </row>
    <row r="439">
      <c r="C439">
        <f>IF($A439="","",SUMIFS(Contributions!E:E,Contributions!B:B,$A439,Contributions!C:C,$B439))</f>
        <v/>
      </c>
      <c r="D439">
        <f>IF($A439="","",SUMIFS(Contributions!E:E,Contributions!B:B,$A439))</f>
        <v/>
      </c>
      <c r="E439">
        <f>IF($A439="","",XLOOKUP($A439,Returns!A:A,Returns!E:E))</f>
        <v/>
      </c>
      <c r="F439">
        <f>IF(OR($A439="",D439=0),"",C439/D439*E439)</f>
        <v/>
      </c>
      <c r="G439">
        <f>IF($A439="","",C439+F439)</f>
        <v/>
      </c>
      <c r="H439">
        <f>IF($A439="","",SUMIFS(Contributions!E:E,Contributions!C:C,$B439,Contributions!F:F,"Reinvest",Contributions!G:G,$A439))</f>
        <v/>
      </c>
      <c r="I439">
        <f>IF($A439="","",G439-H439)</f>
        <v/>
      </c>
    </row>
    <row r="440">
      <c r="C440">
        <f>IF($A440="","",SUMIFS(Contributions!E:E,Contributions!B:B,$A440,Contributions!C:C,$B440))</f>
        <v/>
      </c>
      <c r="D440">
        <f>IF($A440="","",SUMIFS(Contributions!E:E,Contributions!B:B,$A440))</f>
        <v/>
      </c>
      <c r="E440">
        <f>IF($A440="","",XLOOKUP($A440,Returns!A:A,Returns!E:E))</f>
        <v/>
      </c>
      <c r="F440">
        <f>IF(OR($A440="",D440=0),"",C440/D440*E440)</f>
        <v/>
      </c>
      <c r="G440">
        <f>IF($A440="","",C440+F440)</f>
        <v/>
      </c>
      <c r="H440">
        <f>IF($A440="","",SUMIFS(Contributions!E:E,Contributions!C:C,$B440,Contributions!F:F,"Reinvest",Contributions!G:G,$A440))</f>
        <v/>
      </c>
      <c r="I440">
        <f>IF($A440="","",G440-H440)</f>
        <v/>
      </c>
    </row>
    <row r="441">
      <c r="C441">
        <f>IF($A441="","",SUMIFS(Contributions!E:E,Contributions!B:B,$A441,Contributions!C:C,$B441))</f>
        <v/>
      </c>
      <c r="D441">
        <f>IF($A441="","",SUMIFS(Contributions!E:E,Contributions!B:B,$A441))</f>
        <v/>
      </c>
      <c r="E441">
        <f>IF($A441="","",XLOOKUP($A441,Returns!A:A,Returns!E:E))</f>
        <v/>
      </c>
      <c r="F441">
        <f>IF(OR($A441="",D441=0),"",C441/D441*E441)</f>
        <v/>
      </c>
      <c r="G441">
        <f>IF($A441="","",C441+F441)</f>
        <v/>
      </c>
      <c r="H441">
        <f>IF($A441="","",SUMIFS(Contributions!E:E,Contributions!C:C,$B441,Contributions!F:F,"Reinvest",Contributions!G:G,$A441))</f>
        <v/>
      </c>
      <c r="I441">
        <f>IF($A441="","",G441-H441)</f>
        <v/>
      </c>
    </row>
    <row r="442">
      <c r="C442">
        <f>IF($A442="","",SUMIFS(Contributions!E:E,Contributions!B:B,$A442,Contributions!C:C,$B442))</f>
        <v/>
      </c>
      <c r="D442">
        <f>IF($A442="","",SUMIFS(Contributions!E:E,Contributions!B:B,$A442))</f>
        <v/>
      </c>
      <c r="E442">
        <f>IF($A442="","",XLOOKUP($A442,Returns!A:A,Returns!E:E))</f>
        <v/>
      </c>
      <c r="F442">
        <f>IF(OR($A442="",D442=0),"",C442/D442*E442)</f>
        <v/>
      </c>
      <c r="G442">
        <f>IF($A442="","",C442+F442)</f>
        <v/>
      </c>
      <c r="H442">
        <f>IF($A442="","",SUMIFS(Contributions!E:E,Contributions!C:C,$B442,Contributions!F:F,"Reinvest",Contributions!G:G,$A442))</f>
        <v/>
      </c>
      <c r="I442">
        <f>IF($A442="","",G442-H442)</f>
        <v/>
      </c>
    </row>
    <row r="443">
      <c r="C443">
        <f>IF($A443="","",SUMIFS(Contributions!E:E,Contributions!B:B,$A443,Contributions!C:C,$B443))</f>
        <v/>
      </c>
      <c r="D443">
        <f>IF($A443="","",SUMIFS(Contributions!E:E,Contributions!B:B,$A443))</f>
        <v/>
      </c>
      <c r="E443">
        <f>IF($A443="","",XLOOKUP($A443,Returns!A:A,Returns!E:E))</f>
        <v/>
      </c>
      <c r="F443">
        <f>IF(OR($A443="",D443=0),"",C443/D443*E443)</f>
        <v/>
      </c>
      <c r="G443">
        <f>IF($A443="","",C443+F443)</f>
        <v/>
      </c>
      <c r="H443">
        <f>IF($A443="","",SUMIFS(Contributions!E:E,Contributions!C:C,$B443,Contributions!F:F,"Reinvest",Contributions!G:G,$A443))</f>
        <v/>
      </c>
      <c r="I443">
        <f>IF($A443="","",G443-H443)</f>
        <v/>
      </c>
    </row>
    <row r="444">
      <c r="C444">
        <f>IF($A444="","",SUMIFS(Contributions!E:E,Contributions!B:B,$A444,Contributions!C:C,$B444))</f>
        <v/>
      </c>
      <c r="D444">
        <f>IF($A444="","",SUMIFS(Contributions!E:E,Contributions!B:B,$A444))</f>
        <v/>
      </c>
      <c r="E444">
        <f>IF($A444="","",XLOOKUP($A444,Returns!A:A,Returns!E:E))</f>
        <v/>
      </c>
      <c r="F444">
        <f>IF(OR($A444="",D444=0),"",C444/D444*E444)</f>
        <v/>
      </c>
      <c r="G444">
        <f>IF($A444="","",C444+F444)</f>
        <v/>
      </c>
      <c r="H444">
        <f>IF($A444="","",SUMIFS(Contributions!E:E,Contributions!C:C,$B444,Contributions!F:F,"Reinvest",Contributions!G:G,$A444))</f>
        <v/>
      </c>
      <c r="I444">
        <f>IF($A444="","",G444-H444)</f>
        <v/>
      </c>
    </row>
    <row r="445">
      <c r="C445">
        <f>IF($A445="","",SUMIFS(Contributions!E:E,Contributions!B:B,$A445,Contributions!C:C,$B445))</f>
        <v/>
      </c>
      <c r="D445">
        <f>IF($A445="","",SUMIFS(Contributions!E:E,Contributions!B:B,$A445))</f>
        <v/>
      </c>
      <c r="E445">
        <f>IF($A445="","",XLOOKUP($A445,Returns!A:A,Returns!E:E))</f>
        <v/>
      </c>
      <c r="F445">
        <f>IF(OR($A445="",D445=0),"",C445/D445*E445)</f>
        <v/>
      </c>
      <c r="G445">
        <f>IF($A445="","",C445+F445)</f>
        <v/>
      </c>
      <c r="H445">
        <f>IF($A445="","",SUMIFS(Contributions!E:E,Contributions!C:C,$B445,Contributions!F:F,"Reinvest",Contributions!G:G,$A445))</f>
        <v/>
      </c>
      <c r="I445">
        <f>IF($A445="","",G445-H445)</f>
        <v/>
      </c>
    </row>
    <row r="446">
      <c r="C446">
        <f>IF($A446="","",SUMIFS(Contributions!E:E,Contributions!B:B,$A446,Contributions!C:C,$B446))</f>
        <v/>
      </c>
      <c r="D446">
        <f>IF($A446="","",SUMIFS(Contributions!E:E,Contributions!B:B,$A446))</f>
        <v/>
      </c>
      <c r="E446">
        <f>IF($A446="","",XLOOKUP($A446,Returns!A:A,Returns!E:E))</f>
        <v/>
      </c>
      <c r="F446">
        <f>IF(OR($A446="",D446=0),"",C446/D446*E446)</f>
        <v/>
      </c>
      <c r="G446">
        <f>IF($A446="","",C446+F446)</f>
        <v/>
      </c>
      <c r="H446">
        <f>IF($A446="","",SUMIFS(Contributions!E:E,Contributions!C:C,$B446,Contributions!F:F,"Reinvest",Contributions!G:G,$A446))</f>
        <v/>
      </c>
      <c r="I446">
        <f>IF($A446="","",G446-H446)</f>
        <v/>
      </c>
    </row>
    <row r="447">
      <c r="C447">
        <f>IF($A447="","",SUMIFS(Contributions!E:E,Contributions!B:B,$A447,Contributions!C:C,$B447))</f>
        <v/>
      </c>
      <c r="D447">
        <f>IF($A447="","",SUMIFS(Contributions!E:E,Contributions!B:B,$A447))</f>
        <v/>
      </c>
      <c r="E447">
        <f>IF($A447="","",XLOOKUP($A447,Returns!A:A,Returns!E:E))</f>
        <v/>
      </c>
      <c r="F447">
        <f>IF(OR($A447="",D447=0),"",C447/D447*E447)</f>
        <v/>
      </c>
      <c r="G447">
        <f>IF($A447="","",C447+F447)</f>
        <v/>
      </c>
      <c r="H447">
        <f>IF($A447="","",SUMIFS(Contributions!E:E,Contributions!C:C,$B447,Contributions!F:F,"Reinvest",Contributions!G:G,$A447))</f>
        <v/>
      </c>
      <c r="I447">
        <f>IF($A447="","",G447-H447)</f>
        <v/>
      </c>
    </row>
    <row r="448">
      <c r="C448">
        <f>IF($A448="","",SUMIFS(Contributions!E:E,Contributions!B:B,$A448,Contributions!C:C,$B448))</f>
        <v/>
      </c>
      <c r="D448">
        <f>IF($A448="","",SUMIFS(Contributions!E:E,Contributions!B:B,$A448))</f>
        <v/>
      </c>
      <c r="E448">
        <f>IF($A448="","",XLOOKUP($A448,Returns!A:A,Returns!E:E))</f>
        <v/>
      </c>
      <c r="F448">
        <f>IF(OR($A448="",D448=0),"",C448/D448*E448)</f>
        <v/>
      </c>
      <c r="G448">
        <f>IF($A448="","",C448+F448)</f>
        <v/>
      </c>
      <c r="H448">
        <f>IF($A448="","",SUMIFS(Contributions!E:E,Contributions!C:C,$B448,Contributions!F:F,"Reinvest",Contributions!G:G,$A448))</f>
        <v/>
      </c>
      <c r="I448">
        <f>IF($A448="","",G448-H448)</f>
        <v/>
      </c>
    </row>
    <row r="449">
      <c r="C449">
        <f>IF($A449="","",SUMIFS(Contributions!E:E,Contributions!B:B,$A449,Contributions!C:C,$B449))</f>
        <v/>
      </c>
      <c r="D449">
        <f>IF($A449="","",SUMIFS(Contributions!E:E,Contributions!B:B,$A449))</f>
        <v/>
      </c>
      <c r="E449">
        <f>IF($A449="","",XLOOKUP($A449,Returns!A:A,Returns!E:E))</f>
        <v/>
      </c>
      <c r="F449">
        <f>IF(OR($A449="",D449=0),"",C449/D449*E449)</f>
        <v/>
      </c>
      <c r="G449">
        <f>IF($A449="","",C449+F449)</f>
        <v/>
      </c>
      <c r="H449">
        <f>IF($A449="","",SUMIFS(Contributions!E:E,Contributions!C:C,$B449,Contributions!F:F,"Reinvest",Contributions!G:G,$A449))</f>
        <v/>
      </c>
      <c r="I449">
        <f>IF($A449="","",G449-H449)</f>
        <v/>
      </c>
    </row>
    <row r="450">
      <c r="C450">
        <f>IF($A450="","",SUMIFS(Contributions!E:E,Contributions!B:B,$A450,Contributions!C:C,$B450))</f>
        <v/>
      </c>
      <c r="D450">
        <f>IF($A450="","",SUMIFS(Contributions!E:E,Contributions!B:B,$A450))</f>
        <v/>
      </c>
      <c r="E450">
        <f>IF($A450="","",XLOOKUP($A450,Returns!A:A,Returns!E:E))</f>
        <v/>
      </c>
      <c r="F450">
        <f>IF(OR($A450="",D450=0),"",C450/D450*E450)</f>
        <v/>
      </c>
      <c r="G450">
        <f>IF($A450="","",C450+F450)</f>
        <v/>
      </c>
      <c r="H450">
        <f>IF($A450="","",SUMIFS(Contributions!E:E,Contributions!C:C,$B450,Contributions!F:F,"Reinvest",Contributions!G:G,$A450))</f>
        <v/>
      </c>
      <c r="I450">
        <f>IF($A450="","",G450-H450)</f>
        <v/>
      </c>
    </row>
    <row r="451">
      <c r="C451">
        <f>IF($A451="","",SUMIFS(Contributions!E:E,Contributions!B:B,$A451,Contributions!C:C,$B451))</f>
        <v/>
      </c>
      <c r="D451">
        <f>IF($A451="","",SUMIFS(Contributions!E:E,Contributions!B:B,$A451))</f>
        <v/>
      </c>
      <c r="E451">
        <f>IF($A451="","",XLOOKUP($A451,Returns!A:A,Returns!E:E))</f>
        <v/>
      </c>
      <c r="F451">
        <f>IF(OR($A451="",D451=0),"",C451/D451*E451)</f>
        <v/>
      </c>
      <c r="G451">
        <f>IF($A451="","",C451+F451)</f>
        <v/>
      </c>
      <c r="H451">
        <f>IF($A451="","",SUMIFS(Contributions!E:E,Contributions!C:C,$B451,Contributions!F:F,"Reinvest",Contributions!G:G,$A451))</f>
        <v/>
      </c>
      <c r="I451">
        <f>IF($A451="","",G451-H451)</f>
        <v/>
      </c>
    </row>
    <row r="452">
      <c r="C452">
        <f>IF($A452="","",SUMIFS(Contributions!E:E,Contributions!B:B,$A452,Contributions!C:C,$B452))</f>
        <v/>
      </c>
      <c r="D452">
        <f>IF($A452="","",SUMIFS(Contributions!E:E,Contributions!B:B,$A452))</f>
        <v/>
      </c>
      <c r="E452">
        <f>IF($A452="","",XLOOKUP($A452,Returns!A:A,Returns!E:E))</f>
        <v/>
      </c>
      <c r="F452">
        <f>IF(OR($A452="",D452=0),"",C452/D452*E452)</f>
        <v/>
      </c>
      <c r="G452">
        <f>IF($A452="","",C452+F452)</f>
        <v/>
      </c>
      <c r="H452">
        <f>IF($A452="","",SUMIFS(Contributions!E:E,Contributions!C:C,$B452,Contributions!F:F,"Reinvest",Contributions!G:G,$A452))</f>
        <v/>
      </c>
      <c r="I452">
        <f>IF($A452="","",G452-H452)</f>
        <v/>
      </c>
    </row>
    <row r="453">
      <c r="C453">
        <f>IF($A453="","",SUMIFS(Contributions!E:E,Contributions!B:B,$A453,Contributions!C:C,$B453))</f>
        <v/>
      </c>
      <c r="D453">
        <f>IF($A453="","",SUMIFS(Contributions!E:E,Contributions!B:B,$A453))</f>
        <v/>
      </c>
      <c r="E453">
        <f>IF($A453="","",XLOOKUP($A453,Returns!A:A,Returns!E:E))</f>
        <v/>
      </c>
      <c r="F453">
        <f>IF(OR($A453="",D453=0),"",C453/D453*E453)</f>
        <v/>
      </c>
      <c r="G453">
        <f>IF($A453="","",C453+F453)</f>
        <v/>
      </c>
      <c r="H453">
        <f>IF($A453="","",SUMIFS(Contributions!E:E,Contributions!C:C,$B453,Contributions!F:F,"Reinvest",Contributions!G:G,$A453))</f>
        <v/>
      </c>
      <c r="I453">
        <f>IF($A453="","",G453-H453)</f>
        <v/>
      </c>
    </row>
    <row r="454">
      <c r="C454">
        <f>IF($A454="","",SUMIFS(Contributions!E:E,Contributions!B:B,$A454,Contributions!C:C,$B454))</f>
        <v/>
      </c>
      <c r="D454">
        <f>IF($A454="","",SUMIFS(Contributions!E:E,Contributions!B:B,$A454))</f>
        <v/>
      </c>
      <c r="E454">
        <f>IF($A454="","",XLOOKUP($A454,Returns!A:A,Returns!E:E))</f>
        <v/>
      </c>
      <c r="F454">
        <f>IF(OR($A454="",D454=0),"",C454/D454*E454)</f>
        <v/>
      </c>
      <c r="G454">
        <f>IF($A454="","",C454+F454)</f>
        <v/>
      </c>
      <c r="H454">
        <f>IF($A454="","",SUMIFS(Contributions!E:E,Contributions!C:C,$B454,Contributions!F:F,"Reinvest",Contributions!G:G,$A454))</f>
        <v/>
      </c>
      <c r="I454">
        <f>IF($A454="","",G454-H454)</f>
        <v/>
      </c>
    </row>
    <row r="455">
      <c r="C455">
        <f>IF($A455="","",SUMIFS(Contributions!E:E,Contributions!B:B,$A455,Contributions!C:C,$B455))</f>
        <v/>
      </c>
      <c r="D455">
        <f>IF($A455="","",SUMIFS(Contributions!E:E,Contributions!B:B,$A455))</f>
        <v/>
      </c>
      <c r="E455">
        <f>IF($A455="","",XLOOKUP($A455,Returns!A:A,Returns!E:E))</f>
        <v/>
      </c>
      <c r="F455">
        <f>IF(OR($A455="",D455=0),"",C455/D455*E455)</f>
        <v/>
      </c>
      <c r="G455">
        <f>IF($A455="","",C455+F455)</f>
        <v/>
      </c>
      <c r="H455">
        <f>IF($A455="","",SUMIFS(Contributions!E:E,Contributions!C:C,$B455,Contributions!F:F,"Reinvest",Contributions!G:G,$A455))</f>
        <v/>
      </c>
      <c r="I455">
        <f>IF($A455="","",G455-H455)</f>
        <v/>
      </c>
    </row>
    <row r="456">
      <c r="C456">
        <f>IF($A456="","",SUMIFS(Contributions!E:E,Contributions!B:B,$A456,Contributions!C:C,$B456))</f>
        <v/>
      </c>
      <c r="D456">
        <f>IF($A456="","",SUMIFS(Contributions!E:E,Contributions!B:B,$A456))</f>
        <v/>
      </c>
      <c r="E456">
        <f>IF($A456="","",XLOOKUP($A456,Returns!A:A,Returns!E:E))</f>
        <v/>
      </c>
      <c r="F456">
        <f>IF(OR($A456="",D456=0),"",C456/D456*E456)</f>
        <v/>
      </c>
      <c r="G456">
        <f>IF($A456="","",C456+F456)</f>
        <v/>
      </c>
      <c r="H456">
        <f>IF($A456="","",SUMIFS(Contributions!E:E,Contributions!C:C,$B456,Contributions!F:F,"Reinvest",Contributions!G:G,$A456))</f>
        <v/>
      </c>
      <c r="I456">
        <f>IF($A456="","",G456-H456)</f>
        <v/>
      </c>
    </row>
    <row r="457">
      <c r="C457">
        <f>IF($A457="","",SUMIFS(Contributions!E:E,Contributions!B:B,$A457,Contributions!C:C,$B457))</f>
        <v/>
      </c>
      <c r="D457">
        <f>IF($A457="","",SUMIFS(Contributions!E:E,Contributions!B:B,$A457))</f>
        <v/>
      </c>
      <c r="E457">
        <f>IF($A457="","",XLOOKUP($A457,Returns!A:A,Returns!E:E))</f>
        <v/>
      </c>
      <c r="F457">
        <f>IF(OR($A457="",D457=0),"",C457/D457*E457)</f>
        <v/>
      </c>
      <c r="G457">
        <f>IF($A457="","",C457+F457)</f>
        <v/>
      </c>
      <c r="H457">
        <f>IF($A457="","",SUMIFS(Contributions!E:E,Contributions!C:C,$B457,Contributions!F:F,"Reinvest",Contributions!G:G,$A457))</f>
        <v/>
      </c>
      <c r="I457">
        <f>IF($A457="","",G457-H457)</f>
        <v/>
      </c>
    </row>
    <row r="458">
      <c r="C458">
        <f>IF($A458="","",SUMIFS(Contributions!E:E,Contributions!B:B,$A458,Contributions!C:C,$B458))</f>
        <v/>
      </c>
      <c r="D458">
        <f>IF($A458="","",SUMIFS(Contributions!E:E,Contributions!B:B,$A458))</f>
        <v/>
      </c>
      <c r="E458">
        <f>IF($A458="","",XLOOKUP($A458,Returns!A:A,Returns!E:E))</f>
        <v/>
      </c>
      <c r="F458">
        <f>IF(OR($A458="",D458=0),"",C458/D458*E458)</f>
        <v/>
      </c>
      <c r="G458">
        <f>IF($A458="","",C458+F458)</f>
        <v/>
      </c>
      <c r="H458">
        <f>IF($A458="","",SUMIFS(Contributions!E:E,Contributions!C:C,$B458,Contributions!F:F,"Reinvest",Contributions!G:G,$A458))</f>
        <v/>
      </c>
      <c r="I458">
        <f>IF($A458="","",G458-H458)</f>
        <v/>
      </c>
    </row>
    <row r="459">
      <c r="C459">
        <f>IF($A459="","",SUMIFS(Contributions!E:E,Contributions!B:B,$A459,Contributions!C:C,$B459))</f>
        <v/>
      </c>
      <c r="D459">
        <f>IF($A459="","",SUMIFS(Contributions!E:E,Contributions!B:B,$A459))</f>
        <v/>
      </c>
      <c r="E459">
        <f>IF($A459="","",XLOOKUP($A459,Returns!A:A,Returns!E:E))</f>
        <v/>
      </c>
      <c r="F459">
        <f>IF(OR($A459="",D459=0),"",C459/D459*E459)</f>
        <v/>
      </c>
      <c r="G459">
        <f>IF($A459="","",C459+F459)</f>
        <v/>
      </c>
      <c r="H459">
        <f>IF($A459="","",SUMIFS(Contributions!E:E,Contributions!C:C,$B459,Contributions!F:F,"Reinvest",Contributions!G:G,$A459))</f>
        <v/>
      </c>
      <c r="I459">
        <f>IF($A459="","",G459-H459)</f>
        <v/>
      </c>
    </row>
    <row r="460">
      <c r="C460">
        <f>IF($A460="","",SUMIFS(Contributions!E:E,Contributions!B:B,$A460,Contributions!C:C,$B460))</f>
        <v/>
      </c>
      <c r="D460">
        <f>IF($A460="","",SUMIFS(Contributions!E:E,Contributions!B:B,$A460))</f>
        <v/>
      </c>
      <c r="E460">
        <f>IF($A460="","",XLOOKUP($A460,Returns!A:A,Returns!E:E))</f>
        <v/>
      </c>
      <c r="F460">
        <f>IF(OR($A460="",D460=0),"",C460/D460*E460)</f>
        <v/>
      </c>
      <c r="G460">
        <f>IF($A460="","",C460+F460)</f>
        <v/>
      </c>
      <c r="H460">
        <f>IF($A460="","",SUMIFS(Contributions!E:E,Contributions!C:C,$B460,Contributions!F:F,"Reinvest",Contributions!G:G,$A460))</f>
        <v/>
      </c>
      <c r="I460">
        <f>IF($A460="","",G460-H460)</f>
        <v/>
      </c>
    </row>
    <row r="461">
      <c r="C461">
        <f>IF($A461="","",SUMIFS(Contributions!E:E,Contributions!B:B,$A461,Contributions!C:C,$B461))</f>
        <v/>
      </c>
      <c r="D461">
        <f>IF($A461="","",SUMIFS(Contributions!E:E,Contributions!B:B,$A461))</f>
        <v/>
      </c>
      <c r="E461">
        <f>IF($A461="","",XLOOKUP($A461,Returns!A:A,Returns!E:E))</f>
        <v/>
      </c>
      <c r="F461">
        <f>IF(OR($A461="",D461=0),"",C461/D461*E461)</f>
        <v/>
      </c>
      <c r="G461">
        <f>IF($A461="","",C461+F461)</f>
        <v/>
      </c>
      <c r="H461">
        <f>IF($A461="","",SUMIFS(Contributions!E:E,Contributions!C:C,$B461,Contributions!F:F,"Reinvest",Contributions!G:G,$A461))</f>
        <v/>
      </c>
      <c r="I461">
        <f>IF($A461="","",G461-H461)</f>
        <v/>
      </c>
    </row>
    <row r="462">
      <c r="C462">
        <f>IF($A462="","",SUMIFS(Contributions!E:E,Contributions!B:B,$A462,Contributions!C:C,$B462))</f>
        <v/>
      </c>
      <c r="D462">
        <f>IF($A462="","",SUMIFS(Contributions!E:E,Contributions!B:B,$A462))</f>
        <v/>
      </c>
      <c r="E462">
        <f>IF($A462="","",XLOOKUP($A462,Returns!A:A,Returns!E:E))</f>
        <v/>
      </c>
      <c r="F462">
        <f>IF(OR($A462="",D462=0),"",C462/D462*E462)</f>
        <v/>
      </c>
      <c r="G462">
        <f>IF($A462="","",C462+F462)</f>
        <v/>
      </c>
      <c r="H462">
        <f>IF($A462="","",SUMIFS(Contributions!E:E,Contributions!C:C,$B462,Contributions!F:F,"Reinvest",Contributions!G:G,$A462))</f>
        <v/>
      </c>
      <c r="I462">
        <f>IF($A462="","",G462-H462)</f>
        <v/>
      </c>
    </row>
    <row r="463">
      <c r="C463">
        <f>IF($A463="","",SUMIFS(Contributions!E:E,Contributions!B:B,$A463,Contributions!C:C,$B463))</f>
        <v/>
      </c>
      <c r="D463">
        <f>IF($A463="","",SUMIFS(Contributions!E:E,Contributions!B:B,$A463))</f>
        <v/>
      </c>
      <c r="E463">
        <f>IF($A463="","",XLOOKUP($A463,Returns!A:A,Returns!E:E))</f>
        <v/>
      </c>
      <c r="F463">
        <f>IF(OR($A463="",D463=0),"",C463/D463*E463)</f>
        <v/>
      </c>
      <c r="G463">
        <f>IF($A463="","",C463+F463)</f>
        <v/>
      </c>
      <c r="H463">
        <f>IF($A463="","",SUMIFS(Contributions!E:E,Contributions!C:C,$B463,Contributions!F:F,"Reinvest",Contributions!G:G,$A463))</f>
        <v/>
      </c>
      <c r="I463">
        <f>IF($A463="","",G463-H463)</f>
        <v/>
      </c>
    </row>
    <row r="464">
      <c r="C464">
        <f>IF($A464="","",SUMIFS(Contributions!E:E,Contributions!B:B,$A464,Contributions!C:C,$B464))</f>
        <v/>
      </c>
      <c r="D464">
        <f>IF($A464="","",SUMIFS(Contributions!E:E,Contributions!B:B,$A464))</f>
        <v/>
      </c>
      <c r="E464">
        <f>IF($A464="","",XLOOKUP($A464,Returns!A:A,Returns!E:E))</f>
        <v/>
      </c>
      <c r="F464">
        <f>IF(OR($A464="",D464=0),"",C464/D464*E464)</f>
        <v/>
      </c>
      <c r="G464">
        <f>IF($A464="","",C464+F464)</f>
        <v/>
      </c>
      <c r="H464">
        <f>IF($A464="","",SUMIFS(Contributions!E:E,Contributions!C:C,$B464,Contributions!F:F,"Reinvest",Contributions!G:G,$A464))</f>
        <v/>
      </c>
      <c r="I464">
        <f>IF($A464="","",G464-H464)</f>
        <v/>
      </c>
    </row>
    <row r="465">
      <c r="C465">
        <f>IF($A465="","",SUMIFS(Contributions!E:E,Contributions!B:B,$A465,Contributions!C:C,$B465))</f>
        <v/>
      </c>
      <c r="D465">
        <f>IF($A465="","",SUMIFS(Contributions!E:E,Contributions!B:B,$A465))</f>
        <v/>
      </c>
      <c r="E465">
        <f>IF($A465="","",XLOOKUP($A465,Returns!A:A,Returns!E:E))</f>
        <v/>
      </c>
      <c r="F465">
        <f>IF(OR($A465="",D465=0),"",C465/D465*E465)</f>
        <v/>
      </c>
      <c r="G465">
        <f>IF($A465="","",C465+F465)</f>
        <v/>
      </c>
      <c r="H465">
        <f>IF($A465="","",SUMIFS(Contributions!E:E,Contributions!C:C,$B465,Contributions!F:F,"Reinvest",Contributions!G:G,$A465))</f>
        <v/>
      </c>
      <c r="I465">
        <f>IF($A465="","",G465-H465)</f>
        <v/>
      </c>
    </row>
    <row r="466">
      <c r="C466">
        <f>IF($A466="","",SUMIFS(Contributions!E:E,Contributions!B:B,$A466,Contributions!C:C,$B466))</f>
        <v/>
      </c>
      <c r="D466">
        <f>IF($A466="","",SUMIFS(Contributions!E:E,Contributions!B:B,$A466))</f>
        <v/>
      </c>
      <c r="E466">
        <f>IF($A466="","",XLOOKUP($A466,Returns!A:A,Returns!E:E))</f>
        <v/>
      </c>
      <c r="F466">
        <f>IF(OR($A466="",D466=0),"",C466/D466*E466)</f>
        <v/>
      </c>
      <c r="G466">
        <f>IF($A466="","",C466+F466)</f>
        <v/>
      </c>
      <c r="H466">
        <f>IF($A466="","",SUMIFS(Contributions!E:E,Contributions!C:C,$B466,Contributions!F:F,"Reinvest",Contributions!G:G,$A466))</f>
        <v/>
      </c>
      <c r="I466">
        <f>IF($A466="","",G466-H466)</f>
        <v/>
      </c>
    </row>
    <row r="467">
      <c r="C467">
        <f>IF($A467="","",SUMIFS(Contributions!E:E,Contributions!B:B,$A467,Contributions!C:C,$B467))</f>
        <v/>
      </c>
      <c r="D467">
        <f>IF($A467="","",SUMIFS(Contributions!E:E,Contributions!B:B,$A467))</f>
        <v/>
      </c>
      <c r="E467">
        <f>IF($A467="","",XLOOKUP($A467,Returns!A:A,Returns!E:E))</f>
        <v/>
      </c>
      <c r="F467">
        <f>IF(OR($A467="",D467=0),"",C467/D467*E467)</f>
        <v/>
      </c>
      <c r="G467">
        <f>IF($A467="","",C467+F467)</f>
        <v/>
      </c>
      <c r="H467">
        <f>IF($A467="","",SUMIFS(Contributions!E:E,Contributions!C:C,$B467,Contributions!F:F,"Reinvest",Contributions!G:G,$A467))</f>
        <v/>
      </c>
      <c r="I467">
        <f>IF($A467="","",G467-H467)</f>
        <v/>
      </c>
    </row>
    <row r="468">
      <c r="C468">
        <f>IF($A468="","",SUMIFS(Contributions!E:E,Contributions!B:B,$A468,Contributions!C:C,$B468))</f>
        <v/>
      </c>
      <c r="D468">
        <f>IF($A468="","",SUMIFS(Contributions!E:E,Contributions!B:B,$A468))</f>
        <v/>
      </c>
      <c r="E468">
        <f>IF($A468="","",XLOOKUP($A468,Returns!A:A,Returns!E:E))</f>
        <v/>
      </c>
      <c r="F468">
        <f>IF(OR($A468="",D468=0),"",C468/D468*E468)</f>
        <v/>
      </c>
      <c r="G468">
        <f>IF($A468="","",C468+F468)</f>
        <v/>
      </c>
      <c r="H468">
        <f>IF($A468="","",SUMIFS(Contributions!E:E,Contributions!C:C,$B468,Contributions!F:F,"Reinvest",Contributions!G:G,$A468))</f>
        <v/>
      </c>
      <c r="I468">
        <f>IF($A468="","",G468-H468)</f>
        <v/>
      </c>
    </row>
    <row r="469">
      <c r="C469">
        <f>IF($A469="","",SUMIFS(Contributions!E:E,Contributions!B:B,$A469,Contributions!C:C,$B469))</f>
        <v/>
      </c>
      <c r="D469">
        <f>IF($A469="","",SUMIFS(Contributions!E:E,Contributions!B:B,$A469))</f>
        <v/>
      </c>
      <c r="E469">
        <f>IF($A469="","",XLOOKUP($A469,Returns!A:A,Returns!E:E))</f>
        <v/>
      </c>
      <c r="F469">
        <f>IF(OR($A469="",D469=0),"",C469/D469*E469)</f>
        <v/>
      </c>
      <c r="G469">
        <f>IF($A469="","",C469+F469)</f>
        <v/>
      </c>
      <c r="H469">
        <f>IF($A469="","",SUMIFS(Contributions!E:E,Contributions!C:C,$B469,Contributions!F:F,"Reinvest",Contributions!G:G,$A469))</f>
        <v/>
      </c>
      <c r="I469">
        <f>IF($A469="","",G469-H469)</f>
        <v/>
      </c>
    </row>
    <row r="470">
      <c r="C470">
        <f>IF($A470="","",SUMIFS(Contributions!E:E,Contributions!B:B,$A470,Contributions!C:C,$B470))</f>
        <v/>
      </c>
      <c r="D470">
        <f>IF($A470="","",SUMIFS(Contributions!E:E,Contributions!B:B,$A470))</f>
        <v/>
      </c>
      <c r="E470">
        <f>IF($A470="","",XLOOKUP($A470,Returns!A:A,Returns!E:E))</f>
        <v/>
      </c>
      <c r="F470">
        <f>IF(OR($A470="",D470=0),"",C470/D470*E470)</f>
        <v/>
      </c>
      <c r="G470">
        <f>IF($A470="","",C470+F470)</f>
        <v/>
      </c>
      <c r="H470">
        <f>IF($A470="","",SUMIFS(Contributions!E:E,Contributions!C:C,$B470,Contributions!F:F,"Reinvest",Contributions!G:G,$A470))</f>
        <v/>
      </c>
      <c r="I470">
        <f>IF($A470="","",G470-H470)</f>
        <v/>
      </c>
    </row>
    <row r="471">
      <c r="C471">
        <f>IF($A471="","",SUMIFS(Contributions!E:E,Contributions!B:B,$A471,Contributions!C:C,$B471))</f>
        <v/>
      </c>
      <c r="D471">
        <f>IF($A471="","",SUMIFS(Contributions!E:E,Contributions!B:B,$A471))</f>
        <v/>
      </c>
      <c r="E471">
        <f>IF($A471="","",XLOOKUP($A471,Returns!A:A,Returns!E:E))</f>
        <v/>
      </c>
      <c r="F471">
        <f>IF(OR($A471="",D471=0),"",C471/D471*E471)</f>
        <v/>
      </c>
      <c r="G471">
        <f>IF($A471="","",C471+F471)</f>
        <v/>
      </c>
      <c r="H471">
        <f>IF($A471="","",SUMIFS(Contributions!E:E,Contributions!C:C,$B471,Contributions!F:F,"Reinvest",Contributions!G:G,$A471))</f>
        <v/>
      </c>
      <c r="I471">
        <f>IF($A471="","",G471-H471)</f>
        <v/>
      </c>
    </row>
    <row r="472">
      <c r="C472">
        <f>IF($A472="","",SUMIFS(Contributions!E:E,Contributions!B:B,$A472,Contributions!C:C,$B472))</f>
        <v/>
      </c>
      <c r="D472">
        <f>IF($A472="","",SUMIFS(Contributions!E:E,Contributions!B:B,$A472))</f>
        <v/>
      </c>
      <c r="E472">
        <f>IF($A472="","",XLOOKUP($A472,Returns!A:A,Returns!E:E))</f>
        <v/>
      </c>
      <c r="F472">
        <f>IF(OR($A472="",D472=0),"",C472/D472*E472)</f>
        <v/>
      </c>
      <c r="G472">
        <f>IF($A472="","",C472+F472)</f>
        <v/>
      </c>
      <c r="H472">
        <f>IF($A472="","",SUMIFS(Contributions!E:E,Contributions!C:C,$B472,Contributions!F:F,"Reinvest",Contributions!G:G,$A472))</f>
        <v/>
      </c>
      <c r="I472">
        <f>IF($A472="","",G472-H472)</f>
        <v/>
      </c>
    </row>
    <row r="473">
      <c r="C473">
        <f>IF($A473="","",SUMIFS(Contributions!E:E,Contributions!B:B,$A473,Contributions!C:C,$B473))</f>
        <v/>
      </c>
      <c r="D473">
        <f>IF($A473="","",SUMIFS(Contributions!E:E,Contributions!B:B,$A473))</f>
        <v/>
      </c>
      <c r="E473">
        <f>IF($A473="","",XLOOKUP($A473,Returns!A:A,Returns!E:E))</f>
        <v/>
      </c>
      <c r="F473">
        <f>IF(OR($A473="",D473=0),"",C473/D473*E473)</f>
        <v/>
      </c>
      <c r="G473">
        <f>IF($A473="","",C473+F473)</f>
        <v/>
      </c>
      <c r="H473">
        <f>IF($A473="","",SUMIFS(Contributions!E:E,Contributions!C:C,$B473,Contributions!F:F,"Reinvest",Contributions!G:G,$A473))</f>
        <v/>
      </c>
      <c r="I473">
        <f>IF($A473="","",G473-H473)</f>
        <v/>
      </c>
    </row>
    <row r="474">
      <c r="C474">
        <f>IF($A474="","",SUMIFS(Contributions!E:E,Contributions!B:B,$A474,Contributions!C:C,$B474))</f>
        <v/>
      </c>
      <c r="D474">
        <f>IF($A474="","",SUMIFS(Contributions!E:E,Contributions!B:B,$A474))</f>
        <v/>
      </c>
      <c r="E474">
        <f>IF($A474="","",XLOOKUP($A474,Returns!A:A,Returns!E:E))</f>
        <v/>
      </c>
      <c r="F474">
        <f>IF(OR($A474="",D474=0),"",C474/D474*E474)</f>
        <v/>
      </c>
      <c r="G474">
        <f>IF($A474="","",C474+F474)</f>
        <v/>
      </c>
      <c r="H474">
        <f>IF($A474="","",SUMIFS(Contributions!E:E,Contributions!C:C,$B474,Contributions!F:F,"Reinvest",Contributions!G:G,$A474))</f>
        <v/>
      </c>
      <c r="I474">
        <f>IF($A474="","",G474-H474)</f>
        <v/>
      </c>
    </row>
    <row r="475">
      <c r="C475">
        <f>IF($A475="","",SUMIFS(Contributions!E:E,Contributions!B:B,$A475,Contributions!C:C,$B475))</f>
        <v/>
      </c>
      <c r="D475">
        <f>IF($A475="","",SUMIFS(Contributions!E:E,Contributions!B:B,$A475))</f>
        <v/>
      </c>
      <c r="E475">
        <f>IF($A475="","",XLOOKUP($A475,Returns!A:A,Returns!E:E))</f>
        <v/>
      </c>
      <c r="F475">
        <f>IF(OR($A475="",D475=0),"",C475/D475*E475)</f>
        <v/>
      </c>
      <c r="G475">
        <f>IF($A475="","",C475+F475)</f>
        <v/>
      </c>
      <c r="H475">
        <f>IF($A475="","",SUMIFS(Contributions!E:E,Contributions!C:C,$B475,Contributions!F:F,"Reinvest",Contributions!G:G,$A475))</f>
        <v/>
      </c>
      <c r="I475">
        <f>IF($A475="","",G475-H475)</f>
        <v/>
      </c>
    </row>
    <row r="476">
      <c r="C476">
        <f>IF($A476="","",SUMIFS(Contributions!E:E,Contributions!B:B,$A476,Contributions!C:C,$B476))</f>
        <v/>
      </c>
      <c r="D476">
        <f>IF($A476="","",SUMIFS(Contributions!E:E,Contributions!B:B,$A476))</f>
        <v/>
      </c>
      <c r="E476">
        <f>IF($A476="","",XLOOKUP($A476,Returns!A:A,Returns!E:E))</f>
        <v/>
      </c>
      <c r="F476">
        <f>IF(OR($A476="",D476=0),"",C476/D476*E476)</f>
        <v/>
      </c>
      <c r="G476">
        <f>IF($A476="","",C476+F476)</f>
        <v/>
      </c>
      <c r="H476">
        <f>IF($A476="","",SUMIFS(Contributions!E:E,Contributions!C:C,$B476,Contributions!F:F,"Reinvest",Contributions!G:G,$A476))</f>
        <v/>
      </c>
      <c r="I476">
        <f>IF($A476="","",G476-H476)</f>
        <v/>
      </c>
    </row>
    <row r="477">
      <c r="C477">
        <f>IF($A477="","",SUMIFS(Contributions!E:E,Contributions!B:B,$A477,Contributions!C:C,$B477))</f>
        <v/>
      </c>
      <c r="D477">
        <f>IF($A477="","",SUMIFS(Contributions!E:E,Contributions!B:B,$A477))</f>
        <v/>
      </c>
      <c r="E477">
        <f>IF($A477="","",XLOOKUP($A477,Returns!A:A,Returns!E:E))</f>
        <v/>
      </c>
      <c r="F477">
        <f>IF(OR($A477="",D477=0),"",C477/D477*E477)</f>
        <v/>
      </c>
      <c r="G477">
        <f>IF($A477="","",C477+F477)</f>
        <v/>
      </c>
      <c r="H477">
        <f>IF($A477="","",SUMIFS(Contributions!E:E,Contributions!C:C,$B477,Contributions!F:F,"Reinvest",Contributions!G:G,$A477))</f>
        <v/>
      </c>
      <c r="I477">
        <f>IF($A477="","",G477-H477)</f>
        <v/>
      </c>
    </row>
    <row r="478">
      <c r="C478">
        <f>IF($A478="","",SUMIFS(Contributions!E:E,Contributions!B:B,$A478,Contributions!C:C,$B478))</f>
        <v/>
      </c>
      <c r="D478">
        <f>IF($A478="","",SUMIFS(Contributions!E:E,Contributions!B:B,$A478))</f>
        <v/>
      </c>
      <c r="E478">
        <f>IF($A478="","",XLOOKUP($A478,Returns!A:A,Returns!E:E))</f>
        <v/>
      </c>
      <c r="F478">
        <f>IF(OR($A478="",D478=0),"",C478/D478*E478)</f>
        <v/>
      </c>
      <c r="G478">
        <f>IF($A478="","",C478+F478)</f>
        <v/>
      </c>
      <c r="H478">
        <f>IF($A478="","",SUMIFS(Contributions!E:E,Contributions!C:C,$B478,Contributions!F:F,"Reinvest",Contributions!G:G,$A478))</f>
        <v/>
      </c>
      <c r="I478">
        <f>IF($A478="","",G478-H478)</f>
        <v/>
      </c>
    </row>
    <row r="479">
      <c r="C479">
        <f>IF($A479="","",SUMIFS(Contributions!E:E,Contributions!B:B,$A479,Contributions!C:C,$B479))</f>
        <v/>
      </c>
      <c r="D479">
        <f>IF($A479="","",SUMIFS(Contributions!E:E,Contributions!B:B,$A479))</f>
        <v/>
      </c>
      <c r="E479">
        <f>IF($A479="","",XLOOKUP($A479,Returns!A:A,Returns!E:E))</f>
        <v/>
      </c>
      <c r="F479">
        <f>IF(OR($A479="",D479=0),"",C479/D479*E479)</f>
        <v/>
      </c>
      <c r="G479">
        <f>IF($A479="","",C479+F479)</f>
        <v/>
      </c>
      <c r="H479">
        <f>IF($A479="","",SUMIFS(Contributions!E:E,Contributions!C:C,$B479,Contributions!F:F,"Reinvest",Contributions!G:G,$A479))</f>
        <v/>
      </c>
      <c r="I479">
        <f>IF($A479="","",G479-H479)</f>
        <v/>
      </c>
    </row>
    <row r="480">
      <c r="C480">
        <f>IF($A480="","",SUMIFS(Contributions!E:E,Contributions!B:B,$A480,Contributions!C:C,$B480))</f>
        <v/>
      </c>
      <c r="D480">
        <f>IF($A480="","",SUMIFS(Contributions!E:E,Contributions!B:B,$A480))</f>
        <v/>
      </c>
      <c r="E480">
        <f>IF($A480="","",XLOOKUP($A480,Returns!A:A,Returns!E:E))</f>
        <v/>
      </c>
      <c r="F480">
        <f>IF(OR($A480="",D480=0),"",C480/D480*E480)</f>
        <v/>
      </c>
      <c r="G480">
        <f>IF($A480="","",C480+F480)</f>
        <v/>
      </c>
      <c r="H480">
        <f>IF($A480="","",SUMIFS(Contributions!E:E,Contributions!C:C,$B480,Contributions!F:F,"Reinvest",Contributions!G:G,$A480))</f>
        <v/>
      </c>
      <c r="I480">
        <f>IF($A480="","",G480-H480)</f>
        <v/>
      </c>
    </row>
    <row r="481">
      <c r="C481">
        <f>IF($A481="","",SUMIFS(Contributions!E:E,Contributions!B:B,$A481,Contributions!C:C,$B481))</f>
        <v/>
      </c>
      <c r="D481">
        <f>IF($A481="","",SUMIFS(Contributions!E:E,Contributions!B:B,$A481))</f>
        <v/>
      </c>
      <c r="E481">
        <f>IF($A481="","",XLOOKUP($A481,Returns!A:A,Returns!E:E))</f>
        <v/>
      </c>
      <c r="F481">
        <f>IF(OR($A481="",D481=0),"",C481/D481*E481)</f>
        <v/>
      </c>
      <c r="G481">
        <f>IF($A481="","",C481+F481)</f>
        <v/>
      </c>
      <c r="H481">
        <f>IF($A481="","",SUMIFS(Contributions!E:E,Contributions!C:C,$B481,Contributions!F:F,"Reinvest",Contributions!G:G,$A481))</f>
        <v/>
      </c>
      <c r="I481">
        <f>IF($A481="","",G481-H481)</f>
        <v/>
      </c>
    </row>
    <row r="482">
      <c r="C482">
        <f>IF($A482="","",SUMIFS(Contributions!E:E,Contributions!B:B,$A482,Contributions!C:C,$B482))</f>
        <v/>
      </c>
      <c r="D482">
        <f>IF($A482="","",SUMIFS(Contributions!E:E,Contributions!B:B,$A482))</f>
        <v/>
      </c>
      <c r="E482">
        <f>IF($A482="","",XLOOKUP($A482,Returns!A:A,Returns!E:E))</f>
        <v/>
      </c>
      <c r="F482">
        <f>IF(OR($A482="",D482=0),"",C482/D482*E482)</f>
        <v/>
      </c>
      <c r="G482">
        <f>IF($A482="","",C482+F482)</f>
        <v/>
      </c>
      <c r="H482">
        <f>IF($A482="","",SUMIFS(Contributions!E:E,Contributions!C:C,$B482,Contributions!F:F,"Reinvest",Contributions!G:G,$A482))</f>
        <v/>
      </c>
      <c r="I482">
        <f>IF($A482="","",G482-H482)</f>
        <v/>
      </c>
    </row>
    <row r="483">
      <c r="C483">
        <f>IF($A483="","",SUMIFS(Contributions!E:E,Contributions!B:B,$A483,Contributions!C:C,$B483))</f>
        <v/>
      </c>
      <c r="D483">
        <f>IF($A483="","",SUMIFS(Contributions!E:E,Contributions!B:B,$A483))</f>
        <v/>
      </c>
      <c r="E483">
        <f>IF($A483="","",XLOOKUP($A483,Returns!A:A,Returns!E:E))</f>
        <v/>
      </c>
      <c r="F483">
        <f>IF(OR($A483="",D483=0),"",C483/D483*E483)</f>
        <v/>
      </c>
      <c r="G483">
        <f>IF($A483="","",C483+F483)</f>
        <v/>
      </c>
      <c r="H483">
        <f>IF($A483="","",SUMIFS(Contributions!E:E,Contributions!C:C,$B483,Contributions!F:F,"Reinvest",Contributions!G:G,$A483))</f>
        <v/>
      </c>
      <c r="I483">
        <f>IF($A483="","",G483-H483)</f>
        <v/>
      </c>
    </row>
    <row r="484">
      <c r="C484">
        <f>IF($A484="","",SUMIFS(Contributions!E:E,Contributions!B:B,$A484,Contributions!C:C,$B484))</f>
        <v/>
      </c>
      <c r="D484">
        <f>IF($A484="","",SUMIFS(Contributions!E:E,Contributions!B:B,$A484))</f>
        <v/>
      </c>
      <c r="E484">
        <f>IF($A484="","",XLOOKUP($A484,Returns!A:A,Returns!E:E))</f>
        <v/>
      </c>
      <c r="F484">
        <f>IF(OR($A484="",D484=0),"",C484/D484*E484)</f>
        <v/>
      </c>
      <c r="G484">
        <f>IF($A484="","",C484+F484)</f>
        <v/>
      </c>
      <c r="H484">
        <f>IF($A484="","",SUMIFS(Contributions!E:E,Contributions!C:C,$B484,Contributions!F:F,"Reinvest",Contributions!G:G,$A484))</f>
        <v/>
      </c>
      <c r="I484">
        <f>IF($A484="","",G484-H484)</f>
        <v/>
      </c>
    </row>
    <row r="485">
      <c r="C485">
        <f>IF($A485="","",SUMIFS(Contributions!E:E,Contributions!B:B,$A485,Contributions!C:C,$B485))</f>
        <v/>
      </c>
      <c r="D485">
        <f>IF($A485="","",SUMIFS(Contributions!E:E,Contributions!B:B,$A485))</f>
        <v/>
      </c>
      <c r="E485">
        <f>IF($A485="","",XLOOKUP($A485,Returns!A:A,Returns!E:E))</f>
        <v/>
      </c>
      <c r="F485">
        <f>IF(OR($A485="",D485=0),"",C485/D485*E485)</f>
        <v/>
      </c>
      <c r="G485">
        <f>IF($A485="","",C485+F485)</f>
        <v/>
      </c>
      <c r="H485">
        <f>IF($A485="","",SUMIFS(Contributions!E:E,Contributions!C:C,$B485,Contributions!F:F,"Reinvest",Contributions!G:G,$A485))</f>
        <v/>
      </c>
      <c r="I485">
        <f>IF($A485="","",G485-H485)</f>
        <v/>
      </c>
    </row>
    <row r="486">
      <c r="C486">
        <f>IF($A486="","",SUMIFS(Contributions!E:E,Contributions!B:B,$A486,Contributions!C:C,$B486))</f>
        <v/>
      </c>
      <c r="D486">
        <f>IF($A486="","",SUMIFS(Contributions!E:E,Contributions!B:B,$A486))</f>
        <v/>
      </c>
      <c r="E486">
        <f>IF($A486="","",XLOOKUP($A486,Returns!A:A,Returns!E:E))</f>
        <v/>
      </c>
      <c r="F486">
        <f>IF(OR($A486="",D486=0),"",C486/D486*E486)</f>
        <v/>
      </c>
      <c r="G486">
        <f>IF($A486="","",C486+F486)</f>
        <v/>
      </c>
      <c r="H486">
        <f>IF($A486="","",SUMIFS(Contributions!E:E,Contributions!C:C,$B486,Contributions!F:F,"Reinvest",Contributions!G:G,$A486))</f>
        <v/>
      </c>
      <c r="I486">
        <f>IF($A486="","",G486-H486)</f>
        <v/>
      </c>
    </row>
    <row r="487">
      <c r="C487">
        <f>IF($A487="","",SUMIFS(Contributions!E:E,Contributions!B:B,$A487,Contributions!C:C,$B487))</f>
        <v/>
      </c>
      <c r="D487">
        <f>IF($A487="","",SUMIFS(Contributions!E:E,Contributions!B:B,$A487))</f>
        <v/>
      </c>
      <c r="E487">
        <f>IF($A487="","",XLOOKUP($A487,Returns!A:A,Returns!E:E))</f>
        <v/>
      </c>
      <c r="F487">
        <f>IF(OR($A487="",D487=0),"",C487/D487*E487)</f>
        <v/>
      </c>
      <c r="G487">
        <f>IF($A487="","",C487+F487)</f>
        <v/>
      </c>
      <c r="H487">
        <f>IF($A487="","",SUMIFS(Contributions!E:E,Contributions!C:C,$B487,Contributions!F:F,"Reinvest",Contributions!G:G,$A487))</f>
        <v/>
      </c>
      <c r="I487">
        <f>IF($A487="","",G487-H487)</f>
        <v/>
      </c>
    </row>
    <row r="488">
      <c r="C488">
        <f>IF($A488="","",SUMIFS(Contributions!E:E,Contributions!B:B,$A488,Contributions!C:C,$B488))</f>
        <v/>
      </c>
      <c r="D488">
        <f>IF($A488="","",SUMIFS(Contributions!E:E,Contributions!B:B,$A488))</f>
        <v/>
      </c>
      <c r="E488">
        <f>IF($A488="","",XLOOKUP($A488,Returns!A:A,Returns!E:E))</f>
        <v/>
      </c>
      <c r="F488">
        <f>IF(OR($A488="",D488=0),"",C488/D488*E488)</f>
        <v/>
      </c>
      <c r="G488">
        <f>IF($A488="","",C488+F488)</f>
        <v/>
      </c>
      <c r="H488">
        <f>IF($A488="","",SUMIFS(Contributions!E:E,Contributions!C:C,$B488,Contributions!F:F,"Reinvest",Contributions!G:G,$A488))</f>
        <v/>
      </c>
      <c r="I488">
        <f>IF($A488="","",G488-H488)</f>
        <v/>
      </c>
    </row>
    <row r="489">
      <c r="C489">
        <f>IF($A489="","",SUMIFS(Contributions!E:E,Contributions!B:B,$A489,Contributions!C:C,$B489))</f>
        <v/>
      </c>
      <c r="D489">
        <f>IF($A489="","",SUMIFS(Contributions!E:E,Contributions!B:B,$A489))</f>
        <v/>
      </c>
      <c r="E489">
        <f>IF($A489="","",XLOOKUP($A489,Returns!A:A,Returns!E:E))</f>
        <v/>
      </c>
      <c r="F489">
        <f>IF(OR($A489="",D489=0),"",C489/D489*E489)</f>
        <v/>
      </c>
      <c r="G489">
        <f>IF($A489="","",C489+F489)</f>
        <v/>
      </c>
      <c r="H489">
        <f>IF($A489="","",SUMIFS(Contributions!E:E,Contributions!C:C,$B489,Contributions!F:F,"Reinvest",Contributions!G:G,$A489))</f>
        <v/>
      </c>
      <c r="I489">
        <f>IF($A489="","",G489-H489)</f>
        <v/>
      </c>
    </row>
    <row r="490">
      <c r="C490">
        <f>IF($A490="","",SUMIFS(Contributions!E:E,Contributions!B:B,$A490,Contributions!C:C,$B490))</f>
        <v/>
      </c>
      <c r="D490">
        <f>IF($A490="","",SUMIFS(Contributions!E:E,Contributions!B:B,$A490))</f>
        <v/>
      </c>
      <c r="E490">
        <f>IF($A490="","",XLOOKUP($A490,Returns!A:A,Returns!E:E))</f>
        <v/>
      </c>
      <c r="F490">
        <f>IF(OR($A490="",D490=0),"",C490/D490*E490)</f>
        <v/>
      </c>
      <c r="G490">
        <f>IF($A490="","",C490+F490)</f>
        <v/>
      </c>
      <c r="H490">
        <f>IF($A490="","",SUMIFS(Contributions!E:E,Contributions!C:C,$B490,Contributions!F:F,"Reinvest",Contributions!G:G,$A490))</f>
        <v/>
      </c>
      <c r="I490">
        <f>IF($A490="","",G490-H490)</f>
        <v/>
      </c>
    </row>
    <row r="491">
      <c r="C491">
        <f>IF($A491="","",SUMIFS(Contributions!E:E,Contributions!B:B,$A491,Contributions!C:C,$B491))</f>
        <v/>
      </c>
      <c r="D491">
        <f>IF($A491="","",SUMIFS(Contributions!E:E,Contributions!B:B,$A491))</f>
        <v/>
      </c>
      <c r="E491">
        <f>IF($A491="","",XLOOKUP($A491,Returns!A:A,Returns!E:E))</f>
        <v/>
      </c>
      <c r="F491">
        <f>IF(OR($A491="",D491=0),"",C491/D491*E491)</f>
        <v/>
      </c>
      <c r="G491">
        <f>IF($A491="","",C491+F491)</f>
        <v/>
      </c>
      <c r="H491">
        <f>IF($A491="","",SUMIFS(Contributions!E:E,Contributions!C:C,$B491,Contributions!F:F,"Reinvest",Contributions!G:G,$A491))</f>
        <v/>
      </c>
      <c r="I491">
        <f>IF($A491="","",G491-H491)</f>
        <v/>
      </c>
    </row>
    <row r="492">
      <c r="C492">
        <f>IF($A492="","",SUMIFS(Contributions!E:E,Contributions!B:B,$A492,Contributions!C:C,$B492))</f>
        <v/>
      </c>
      <c r="D492">
        <f>IF($A492="","",SUMIFS(Contributions!E:E,Contributions!B:B,$A492))</f>
        <v/>
      </c>
      <c r="E492">
        <f>IF($A492="","",XLOOKUP($A492,Returns!A:A,Returns!E:E))</f>
        <v/>
      </c>
      <c r="F492">
        <f>IF(OR($A492="",D492=0),"",C492/D492*E492)</f>
        <v/>
      </c>
      <c r="G492">
        <f>IF($A492="","",C492+F492)</f>
        <v/>
      </c>
      <c r="H492">
        <f>IF($A492="","",SUMIFS(Contributions!E:E,Contributions!C:C,$B492,Contributions!F:F,"Reinvest",Contributions!G:G,$A492))</f>
        <v/>
      </c>
      <c r="I492">
        <f>IF($A492="","",G492-H492)</f>
        <v/>
      </c>
    </row>
    <row r="493">
      <c r="C493">
        <f>IF($A493="","",SUMIFS(Contributions!E:E,Contributions!B:B,$A493,Contributions!C:C,$B493))</f>
        <v/>
      </c>
      <c r="D493">
        <f>IF($A493="","",SUMIFS(Contributions!E:E,Contributions!B:B,$A493))</f>
        <v/>
      </c>
      <c r="E493">
        <f>IF($A493="","",XLOOKUP($A493,Returns!A:A,Returns!E:E))</f>
        <v/>
      </c>
      <c r="F493">
        <f>IF(OR($A493="",D493=0),"",C493/D493*E493)</f>
        <v/>
      </c>
      <c r="G493">
        <f>IF($A493="","",C493+F493)</f>
        <v/>
      </c>
      <c r="H493">
        <f>IF($A493="","",SUMIFS(Contributions!E:E,Contributions!C:C,$B493,Contributions!F:F,"Reinvest",Contributions!G:G,$A493))</f>
        <v/>
      </c>
      <c r="I493">
        <f>IF($A493="","",G493-H493)</f>
        <v/>
      </c>
    </row>
    <row r="494">
      <c r="C494">
        <f>IF($A494="","",SUMIFS(Contributions!E:E,Contributions!B:B,$A494,Contributions!C:C,$B494))</f>
        <v/>
      </c>
      <c r="D494">
        <f>IF($A494="","",SUMIFS(Contributions!E:E,Contributions!B:B,$A494))</f>
        <v/>
      </c>
      <c r="E494">
        <f>IF($A494="","",XLOOKUP($A494,Returns!A:A,Returns!E:E))</f>
        <v/>
      </c>
      <c r="F494">
        <f>IF(OR($A494="",D494=0),"",C494/D494*E494)</f>
        <v/>
      </c>
      <c r="G494">
        <f>IF($A494="","",C494+F494)</f>
        <v/>
      </c>
      <c r="H494">
        <f>IF($A494="","",SUMIFS(Contributions!E:E,Contributions!C:C,$B494,Contributions!F:F,"Reinvest",Contributions!G:G,$A494))</f>
        <v/>
      </c>
      <c r="I494">
        <f>IF($A494="","",G494-H494)</f>
        <v/>
      </c>
    </row>
    <row r="495">
      <c r="C495">
        <f>IF($A495="","",SUMIFS(Contributions!E:E,Contributions!B:B,$A495,Contributions!C:C,$B495))</f>
        <v/>
      </c>
      <c r="D495">
        <f>IF($A495="","",SUMIFS(Contributions!E:E,Contributions!B:B,$A495))</f>
        <v/>
      </c>
      <c r="E495">
        <f>IF($A495="","",XLOOKUP($A495,Returns!A:A,Returns!E:E))</f>
        <v/>
      </c>
      <c r="F495">
        <f>IF(OR($A495="",D495=0),"",C495/D495*E495)</f>
        <v/>
      </c>
      <c r="G495">
        <f>IF($A495="","",C495+F495)</f>
        <v/>
      </c>
      <c r="H495">
        <f>IF($A495="","",SUMIFS(Contributions!E:E,Contributions!C:C,$B495,Contributions!F:F,"Reinvest",Contributions!G:G,$A495))</f>
        <v/>
      </c>
      <c r="I495">
        <f>IF($A495="","",G495-H495)</f>
        <v/>
      </c>
    </row>
    <row r="496">
      <c r="C496">
        <f>IF($A496="","",SUMIFS(Contributions!E:E,Contributions!B:B,$A496,Contributions!C:C,$B496))</f>
        <v/>
      </c>
      <c r="D496">
        <f>IF($A496="","",SUMIFS(Contributions!E:E,Contributions!B:B,$A496))</f>
        <v/>
      </c>
      <c r="E496">
        <f>IF($A496="","",XLOOKUP($A496,Returns!A:A,Returns!E:E))</f>
        <v/>
      </c>
      <c r="F496">
        <f>IF(OR($A496="",D496=0),"",C496/D496*E496)</f>
        <v/>
      </c>
      <c r="G496">
        <f>IF($A496="","",C496+F496)</f>
        <v/>
      </c>
      <c r="H496">
        <f>IF($A496="","",SUMIFS(Contributions!E:E,Contributions!C:C,$B496,Contributions!F:F,"Reinvest",Contributions!G:G,$A496))</f>
        <v/>
      </c>
      <c r="I496">
        <f>IF($A496="","",G496-H496)</f>
        <v/>
      </c>
    </row>
    <row r="497">
      <c r="C497">
        <f>IF($A497="","",SUMIFS(Contributions!E:E,Contributions!B:B,$A497,Contributions!C:C,$B497))</f>
        <v/>
      </c>
      <c r="D497">
        <f>IF($A497="","",SUMIFS(Contributions!E:E,Contributions!B:B,$A497))</f>
        <v/>
      </c>
      <c r="E497">
        <f>IF($A497="","",XLOOKUP($A497,Returns!A:A,Returns!E:E))</f>
        <v/>
      </c>
      <c r="F497">
        <f>IF(OR($A497="",D497=0),"",C497/D497*E497)</f>
        <v/>
      </c>
      <c r="G497">
        <f>IF($A497="","",C497+F497)</f>
        <v/>
      </c>
      <c r="H497">
        <f>IF($A497="","",SUMIFS(Contributions!E:E,Contributions!C:C,$B497,Contributions!F:F,"Reinvest",Contributions!G:G,$A497))</f>
        <v/>
      </c>
      <c r="I497">
        <f>IF($A497="","",G497-H497)</f>
        <v/>
      </c>
    </row>
    <row r="498">
      <c r="C498">
        <f>IF($A498="","",SUMIFS(Contributions!E:E,Contributions!B:B,$A498,Contributions!C:C,$B498))</f>
        <v/>
      </c>
      <c r="D498">
        <f>IF($A498="","",SUMIFS(Contributions!E:E,Contributions!B:B,$A498))</f>
        <v/>
      </c>
      <c r="E498">
        <f>IF($A498="","",XLOOKUP($A498,Returns!A:A,Returns!E:E))</f>
        <v/>
      </c>
      <c r="F498">
        <f>IF(OR($A498="",D498=0),"",C498/D498*E498)</f>
        <v/>
      </c>
      <c r="G498">
        <f>IF($A498="","",C498+F498)</f>
        <v/>
      </c>
      <c r="H498">
        <f>IF($A498="","",SUMIFS(Contributions!E:E,Contributions!C:C,$B498,Contributions!F:F,"Reinvest",Contributions!G:G,$A498))</f>
        <v/>
      </c>
      <c r="I498">
        <f>IF($A498="","",G498-H498)</f>
        <v/>
      </c>
    </row>
    <row r="499">
      <c r="C499">
        <f>IF($A499="","",SUMIFS(Contributions!E:E,Contributions!B:B,$A499,Contributions!C:C,$B499))</f>
        <v/>
      </c>
      <c r="D499">
        <f>IF($A499="","",SUMIFS(Contributions!E:E,Contributions!B:B,$A499))</f>
        <v/>
      </c>
      <c r="E499">
        <f>IF($A499="","",XLOOKUP($A499,Returns!A:A,Returns!E:E))</f>
        <v/>
      </c>
      <c r="F499">
        <f>IF(OR($A499="",D499=0),"",C499/D499*E499)</f>
        <v/>
      </c>
      <c r="G499">
        <f>IF($A499="","",C499+F499)</f>
        <v/>
      </c>
      <c r="H499">
        <f>IF($A499="","",SUMIFS(Contributions!E:E,Contributions!C:C,$B499,Contributions!F:F,"Reinvest",Contributions!G:G,$A499))</f>
        <v/>
      </c>
      <c r="I499">
        <f>IF($A499="","",G499-H499)</f>
        <v/>
      </c>
    </row>
    <row r="500">
      <c r="C500">
        <f>IF($A500="","",SUMIFS(Contributions!E:E,Contributions!B:B,$A500,Contributions!C:C,$B500))</f>
        <v/>
      </c>
      <c r="D500">
        <f>IF($A500="","",SUMIFS(Contributions!E:E,Contributions!B:B,$A500))</f>
        <v/>
      </c>
      <c r="E500">
        <f>IF($A500="","",XLOOKUP($A500,Returns!A:A,Returns!E:E))</f>
        <v/>
      </c>
      <c r="F500">
        <f>IF(OR($A500="",D500=0),"",C500/D500*E500)</f>
        <v/>
      </c>
      <c r="G500">
        <f>IF($A500="","",C500+F500)</f>
        <v/>
      </c>
      <c r="H500">
        <f>IF($A500="","",SUMIFS(Contributions!E:E,Contributions!C:C,$B500,Contributions!F:F,"Reinvest",Contributions!G:G,$A500))</f>
        <v/>
      </c>
      <c r="I500">
        <f>IF($A500="","",G500-H500)</f>
        <v/>
      </c>
    </row>
    <row r="501">
      <c r="C501">
        <f>IF($A501="","",SUMIFS(Contributions!E:E,Contributions!B:B,$A501,Contributions!C:C,$B501))</f>
        <v/>
      </c>
      <c r="D501">
        <f>IF($A501="","",SUMIFS(Contributions!E:E,Contributions!B:B,$A501))</f>
        <v/>
      </c>
      <c r="E501">
        <f>IF($A501="","",XLOOKUP($A501,Returns!A:A,Returns!E:E))</f>
        <v/>
      </c>
      <c r="F501">
        <f>IF(OR($A501="",D501=0),"",C501/D501*E501)</f>
        <v/>
      </c>
      <c r="G501">
        <f>IF($A501="","",C501+F501)</f>
        <v/>
      </c>
      <c r="H501">
        <f>IF($A501="","",SUMIFS(Contributions!E:E,Contributions!C:C,$B501,Contributions!F:F,"Reinvest",Contributions!G:G,$A501))</f>
        <v/>
      </c>
      <c r="I501">
        <f>IF($A501="","",G501-H501)</f>
        <v/>
      </c>
    </row>
    <row r="502">
      <c r="C502">
        <f>IF($A502="","",SUMIFS(Contributions!E:E,Contributions!B:B,$A502,Contributions!C:C,$B502))</f>
        <v/>
      </c>
      <c r="D502">
        <f>IF($A502="","",SUMIFS(Contributions!E:E,Contributions!B:B,$A502))</f>
        <v/>
      </c>
      <c r="E502">
        <f>IF($A502="","",XLOOKUP($A502,Returns!A:A,Returns!E:E))</f>
        <v/>
      </c>
      <c r="F502">
        <f>IF(OR($A502="",D502=0),"",C502/D502*E502)</f>
        <v/>
      </c>
      <c r="G502">
        <f>IF($A502="","",C502+F502)</f>
        <v/>
      </c>
      <c r="H502">
        <f>IF($A502="","",SUMIFS(Contributions!E:E,Contributions!C:C,$B502,Contributions!F:F,"Reinvest",Contributions!G:G,$A502))</f>
        <v/>
      </c>
      <c r="I502">
        <f>IF($A502="","",G502-H502)</f>
        <v/>
      </c>
    </row>
    <row r="503">
      <c r="C503">
        <f>IF($A503="","",SUMIFS(Contributions!E:E,Contributions!B:B,$A503,Contributions!C:C,$B503))</f>
        <v/>
      </c>
      <c r="D503">
        <f>IF($A503="","",SUMIFS(Contributions!E:E,Contributions!B:B,$A503))</f>
        <v/>
      </c>
      <c r="E503">
        <f>IF($A503="","",XLOOKUP($A503,Returns!A:A,Returns!E:E))</f>
        <v/>
      </c>
      <c r="F503">
        <f>IF(OR($A503="",D503=0),"",C503/D503*E503)</f>
        <v/>
      </c>
      <c r="G503">
        <f>IF($A503="","",C503+F503)</f>
        <v/>
      </c>
      <c r="H503">
        <f>IF($A503="","",SUMIFS(Contributions!E:E,Contributions!C:C,$B503,Contributions!F:F,"Reinvest",Contributions!G:G,$A503))</f>
        <v/>
      </c>
      <c r="I503">
        <f>IF($A503="","",G503-H503)</f>
        <v/>
      </c>
    </row>
    <row r="504">
      <c r="C504">
        <f>IF($A504="","",SUMIFS(Contributions!E:E,Contributions!B:B,$A504,Contributions!C:C,$B504))</f>
        <v/>
      </c>
      <c r="D504">
        <f>IF($A504="","",SUMIFS(Contributions!E:E,Contributions!B:B,$A504))</f>
        <v/>
      </c>
      <c r="E504">
        <f>IF($A504="","",XLOOKUP($A504,Returns!A:A,Returns!E:E))</f>
        <v/>
      </c>
      <c r="F504">
        <f>IF(OR($A504="",D504=0),"",C504/D504*E504)</f>
        <v/>
      </c>
      <c r="G504">
        <f>IF($A504="","",C504+F504)</f>
        <v/>
      </c>
      <c r="H504">
        <f>IF($A504="","",SUMIFS(Contributions!E:E,Contributions!C:C,$B504,Contributions!F:F,"Reinvest",Contributions!G:G,$A504))</f>
        <v/>
      </c>
      <c r="I504">
        <f>IF($A504="","",G504-H504)</f>
        <v/>
      </c>
    </row>
    <row r="505">
      <c r="C505">
        <f>IF($A505="","",SUMIFS(Contributions!E:E,Contributions!B:B,$A505,Contributions!C:C,$B505))</f>
        <v/>
      </c>
      <c r="D505">
        <f>IF($A505="","",SUMIFS(Contributions!E:E,Contributions!B:B,$A505))</f>
        <v/>
      </c>
      <c r="E505">
        <f>IF($A505="","",XLOOKUP($A505,Returns!A:A,Returns!E:E))</f>
        <v/>
      </c>
      <c r="F505">
        <f>IF(OR($A505="",D505=0),"",C505/D505*E505)</f>
        <v/>
      </c>
      <c r="G505">
        <f>IF($A505="","",C505+F505)</f>
        <v/>
      </c>
      <c r="H505">
        <f>IF($A505="","",SUMIFS(Contributions!E:E,Contributions!C:C,$B505,Contributions!F:F,"Reinvest",Contributions!G:G,$A505))</f>
        <v/>
      </c>
      <c r="I505">
        <f>IF($A505="","",G505-H505)</f>
        <v/>
      </c>
    </row>
    <row r="506">
      <c r="C506">
        <f>IF($A506="","",SUMIFS(Contributions!E:E,Contributions!B:B,$A506,Contributions!C:C,$B506))</f>
        <v/>
      </c>
      <c r="D506">
        <f>IF($A506="","",SUMIFS(Contributions!E:E,Contributions!B:B,$A506))</f>
        <v/>
      </c>
      <c r="E506">
        <f>IF($A506="","",XLOOKUP($A506,Returns!A:A,Returns!E:E))</f>
        <v/>
      </c>
      <c r="F506">
        <f>IF(OR($A506="",D506=0),"",C506/D506*E506)</f>
        <v/>
      </c>
      <c r="G506">
        <f>IF($A506="","",C506+F506)</f>
        <v/>
      </c>
      <c r="H506">
        <f>IF($A506="","",SUMIFS(Contributions!E:E,Contributions!C:C,$B506,Contributions!F:F,"Reinvest",Contributions!G:G,$A506))</f>
        <v/>
      </c>
      <c r="I506">
        <f>IF($A506="","",G506-H506)</f>
        <v/>
      </c>
    </row>
    <row r="507">
      <c r="C507">
        <f>IF($A507="","",SUMIFS(Contributions!E:E,Contributions!B:B,$A507,Contributions!C:C,$B507))</f>
        <v/>
      </c>
      <c r="D507">
        <f>IF($A507="","",SUMIFS(Contributions!E:E,Contributions!B:B,$A507))</f>
        <v/>
      </c>
      <c r="E507">
        <f>IF($A507="","",XLOOKUP($A507,Returns!A:A,Returns!E:E))</f>
        <v/>
      </c>
      <c r="F507">
        <f>IF(OR($A507="",D507=0),"",C507/D507*E507)</f>
        <v/>
      </c>
      <c r="G507">
        <f>IF($A507="","",C507+F507)</f>
        <v/>
      </c>
      <c r="H507">
        <f>IF($A507="","",SUMIFS(Contributions!E:E,Contributions!C:C,$B507,Contributions!F:F,"Reinvest",Contributions!G:G,$A507))</f>
        <v/>
      </c>
      <c r="I507">
        <f>IF($A507="","",G507-H507)</f>
        <v/>
      </c>
    </row>
    <row r="508">
      <c r="C508">
        <f>IF($A508="","",SUMIFS(Contributions!E:E,Contributions!B:B,$A508,Contributions!C:C,$B508))</f>
        <v/>
      </c>
      <c r="D508">
        <f>IF($A508="","",SUMIFS(Contributions!E:E,Contributions!B:B,$A508))</f>
        <v/>
      </c>
      <c r="E508">
        <f>IF($A508="","",XLOOKUP($A508,Returns!A:A,Returns!E:E))</f>
        <v/>
      </c>
      <c r="F508">
        <f>IF(OR($A508="",D508=0),"",C508/D508*E508)</f>
        <v/>
      </c>
      <c r="G508">
        <f>IF($A508="","",C508+F508)</f>
        <v/>
      </c>
      <c r="H508">
        <f>IF($A508="","",SUMIFS(Contributions!E:E,Contributions!C:C,$B508,Contributions!F:F,"Reinvest",Contributions!G:G,$A508))</f>
        <v/>
      </c>
      <c r="I508">
        <f>IF($A508="","",G508-H508)</f>
        <v/>
      </c>
    </row>
    <row r="509">
      <c r="C509">
        <f>IF($A509="","",SUMIFS(Contributions!E:E,Contributions!B:B,$A509,Contributions!C:C,$B509))</f>
        <v/>
      </c>
      <c r="D509">
        <f>IF($A509="","",SUMIFS(Contributions!E:E,Contributions!B:B,$A509))</f>
        <v/>
      </c>
      <c r="E509">
        <f>IF($A509="","",XLOOKUP($A509,Returns!A:A,Returns!E:E))</f>
        <v/>
      </c>
      <c r="F509">
        <f>IF(OR($A509="",D509=0),"",C509/D509*E509)</f>
        <v/>
      </c>
      <c r="G509">
        <f>IF($A509="","",C509+F509)</f>
        <v/>
      </c>
      <c r="H509">
        <f>IF($A509="","",SUMIFS(Contributions!E:E,Contributions!C:C,$B509,Contributions!F:F,"Reinvest",Contributions!G:G,$A509))</f>
        <v/>
      </c>
      <c r="I509">
        <f>IF($A509="","",G509-H509)</f>
        <v/>
      </c>
    </row>
    <row r="510">
      <c r="C510">
        <f>IF($A510="","",SUMIFS(Contributions!E:E,Contributions!B:B,$A510,Contributions!C:C,$B510))</f>
        <v/>
      </c>
      <c r="D510">
        <f>IF($A510="","",SUMIFS(Contributions!E:E,Contributions!B:B,$A510))</f>
        <v/>
      </c>
      <c r="E510">
        <f>IF($A510="","",XLOOKUP($A510,Returns!A:A,Returns!E:E))</f>
        <v/>
      </c>
      <c r="F510">
        <f>IF(OR($A510="",D510=0),"",C510/D510*E510)</f>
        <v/>
      </c>
      <c r="G510">
        <f>IF($A510="","",C510+F510)</f>
        <v/>
      </c>
      <c r="H510">
        <f>IF($A510="","",SUMIFS(Contributions!E:E,Contributions!C:C,$B510,Contributions!F:F,"Reinvest",Contributions!G:G,$A510))</f>
        <v/>
      </c>
      <c r="I510">
        <f>IF($A510="","",G510-H510)</f>
        <v/>
      </c>
    </row>
    <row r="511">
      <c r="C511">
        <f>IF($A511="","",SUMIFS(Contributions!E:E,Contributions!B:B,$A511,Contributions!C:C,$B511))</f>
        <v/>
      </c>
      <c r="D511">
        <f>IF($A511="","",SUMIFS(Contributions!E:E,Contributions!B:B,$A511))</f>
        <v/>
      </c>
      <c r="E511">
        <f>IF($A511="","",XLOOKUP($A511,Returns!A:A,Returns!E:E))</f>
        <v/>
      </c>
      <c r="F511">
        <f>IF(OR($A511="",D511=0),"",C511/D511*E511)</f>
        <v/>
      </c>
      <c r="G511">
        <f>IF($A511="","",C511+F511)</f>
        <v/>
      </c>
      <c r="H511">
        <f>IF($A511="","",SUMIFS(Contributions!E:E,Contributions!C:C,$B511,Contributions!F:F,"Reinvest",Contributions!G:G,$A511))</f>
        <v/>
      </c>
      <c r="I511">
        <f>IF($A511="","",G511-H511)</f>
        <v/>
      </c>
    </row>
    <row r="512">
      <c r="C512">
        <f>IF($A512="","",SUMIFS(Contributions!E:E,Contributions!B:B,$A512,Contributions!C:C,$B512))</f>
        <v/>
      </c>
      <c r="D512">
        <f>IF($A512="","",SUMIFS(Contributions!E:E,Contributions!B:B,$A512))</f>
        <v/>
      </c>
      <c r="E512">
        <f>IF($A512="","",XLOOKUP($A512,Returns!A:A,Returns!E:E))</f>
        <v/>
      </c>
      <c r="F512">
        <f>IF(OR($A512="",D512=0),"",C512/D512*E512)</f>
        <v/>
      </c>
      <c r="G512">
        <f>IF($A512="","",C512+F512)</f>
        <v/>
      </c>
      <c r="H512">
        <f>IF($A512="","",SUMIFS(Contributions!E:E,Contributions!C:C,$B512,Contributions!F:F,"Reinvest",Contributions!G:G,$A512))</f>
        <v/>
      </c>
      <c r="I512">
        <f>IF($A512="","",G512-H512)</f>
        <v/>
      </c>
    </row>
    <row r="513">
      <c r="C513">
        <f>IF($A513="","",SUMIFS(Contributions!E:E,Contributions!B:B,$A513,Contributions!C:C,$B513))</f>
        <v/>
      </c>
      <c r="D513">
        <f>IF($A513="","",SUMIFS(Contributions!E:E,Contributions!B:B,$A513))</f>
        <v/>
      </c>
      <c r="E513">
        <f>IF($A513="","",XLOOKUP($A513,Returns!A:A,Returns!E:E))</f>
        <v/>
      </c>
      <c r="F513">
        <f>IF(OR($A513="",D513=0),"",C513/D513*E513)</f>
        <v/>
      </c>
      <c r="G513">
        <f>IF($A513="","",C513+F513)</f>
        <v/>
      </c>
      <c r="H513">
        <f>IF($A513="","",SUMIFS(Contributions!E:E,Contributions!C:C,$B513,Contributions!F:F,"Reinvest",Contributions!G:G,$A513))</f>
        <v/>
      </c>
      <c r="I513">
        <f>IF($A513="","",G513-H513)</f>
        <v/>
      </c>
    </row>
    <row r="514">
      <c r="C514">
        <f>IF($A514="","",SUMIFS(Contributions!E:E,Contributions!B:B,$A514,Contributions!C:C,$B514))</f>
        <v/>
      </c>
      <c r="D514">
        <f>IF($A514="","",SUMIFS(Contributions!E:E,Contributions!B:B,$A514))</f>
        <v/>
      </c>
      <c r="E514">
        <f>IF($A514="","",XLOOKUP($A514,Returns!A:A,Returns!E:E))</f>
        <v/>
      </c>
      <c r="F514">
        <f>IF(OR($A514="",D514=0),"",C514/D514*E514)</f>
        <v/>
      </c>
      <c r="G514">
        <f>IF($A514="","",C514+F514)</f>
        <v/>
      </c>
      <c r="H514">
        <f>IF($A514="","",SUMIFS(Contributions!E:E,Contributions!C:C,$B514,Contributions!F:F,"Reinvest",Contributions!G:G,$A514))</f>
        <v/>
      </c>
      <c r="I514">
        <f>IF($A514="","",G514-H514)</f>
        <v/>
      </c>
    </row>
    <row r="515">
      <c r="C515">
        <f>IF($A515="","",SUMIFS(Contributions!E:E,Contributions!B:B,$A515,Contributions!C:C,$B515))</f>
        <v/>
      </c>
      <c r="D515">
        <f>IF($A515="","",SUMIFS(Contributions!E:E,Contributions!B:B,$A515))</f>
        <v/>
      </c>
      <c r="E515">
        <f>IF($A515="","",XLOOKUP($A515,Returns!A:A,Returns!E:E))</f>
        <v/>
      </c>
      <c r="F515">
        <f>IF(OR($A515="",D515=0),"",C515/D515*E515)</f>
        <v/>
      </c>
      <c r="G515">
        <f>IF($A515="","",C515+F515)</f>
        <v/>
      </c>
      <c r="H515">
        <f>IF($A515="","",SUMIFS(Contributions!E:E,Contributions!C:C,$B515,Contributions!F:F,"Reinvest",Contributions!G:G,$A515))</f>
        <v/>
      </c>
      <c r="I515">
        <f>IF($A515="","",G515-H515)</f>
        <v/>
      </c>
    </row>
    <row r="516">
      <c r="C516">
        <f>IF($A516="","",SUMIFS(Contributions!E:E,Contributions!B:B,$A516,Contributions!C:C,$B516))</f>
        <v/>
      </c>
      <c r="D516">
        <f>IF($A516="","",SUMIFS(Contributions!E:E,Contributions!B:B,$A516))</f>
        <v/>
      </c>
      <c r="E516">
        <f>IF($A516="","",XLOOKUP($A516,Returns!A:A,Returns!E:E))</f>
        <v/>
      </c>
      <c r="F516">
        <f>IF(OR($A516="",D516=0),"",C516/D516*E516)</f>
        <v/>
      </c>
      <c r="G516">
        <f>IF($A516="","",C516+F516)</f>
        <v/>
      </c>
      <c r="H516">
        <f>IF($A516="","",SUMIFS(Contributions!E:E,Contributions!C:C,$B516,Contributions!F:F,"Reinvest",Contributions!G:G,$A516))</f>
        <v/>
      </c>
      <c r="I516">
        <f>IF($A516="","",G516-H516)</f>
        <v/>
      </c>
    </row>
    <row r="517">
      <c r="C517">
        <f>IF($A517="","",SUMIFS(Contributions!E:E,Contributions!B:B,$A517,Contributions!C:C,$B517))</f>
        <v/>
      </c>
      <c r="D517">
        <f>IF($A517="","",SUMIFS(Contributions!E:E,Contributions!B:B,$A517))</f>
        <v/>
      </c>
      <c r="E517">
        <f>IF($A517="","",XLOOKUP($A517,Returns!A:A,Returns!E:E))</f>
        <v/>
      </c>
      <c r="F517">
        <f>IF(OR($A517="",D517=0),"",C517/D517*E517)</f>
        <v/>
      </c>
      <c r="G517">
        <f>IF($A517="","",C517+F517)</f>
        <v/>
      </c>
      <c r="H517">
        <f>IF($A517="","",SUMIFS(Contributions!E:E,Contributions!C:C,$B517,Contributions!F:F,"Reinvest",Contributions!G:G,$A517))</f>
        <v/>
      </c>
      <c r="I517">
        <f>IF($A517="","",G517-H517)</f>
        <v/>
      </c>
    </row>
    <row r="518">
      <c r="C518">
        <f>IF($A518="","",SUMIFS(Contributions!E:E,Contributions!B:B,$A518,Contributions!C:C,$B518))</f>
        <v/>
      </c>
      <c r="D518">
        <f>IF($A518="","",SUMIFS(Contributions!E:E,Contributions!B:B,$A518))</f>
        <v/>
      </c>
      <c r="E518">
        <f>IF($A518="","",XLOOKUP($A518,Returns!A:A,Returns!E:E))</f>
        <v/>
      </c>
      <c r="F518">
        <f>IF(OR($A518="",D518=0),"",C518/D518*E518)</f>
        <v/>
      </c>
      <c r="G518">
        <f>IF($A518="","",C518+F518)</f>
        <v/>
      </c>
      <c r="H518">
        <f>IF($A518="","",SUMIFS(Contributions!E:E,Contributions!C:C,$B518,Contributions!F:F,"Reinvest",Contributions!G:G,$A518))</f>
        <v/>
      </c>
      <c r="I518">
        <f>IF($A518="","",G518-H518)</f>
        <v/>
      </c>
    </row>
    <row r="519">
      <c r="C519">
        <f>IF($A519="","",SUMIFS(Contributions!E:E,Contributions!B:B,$A519,Contributions!C:C,$B519))</f>
        <v/>
      </c>
      <c r="D519">
        <f>IF($A519="","",SUMIFS(Contributions!E:E,Contributions!B:B,$A519))</f>
        <v/>
      </c>
      <c r="E519">
        <f>IF($A519="","",XLOOKUP($A519,Returns!A:A,Returns!E:E))</f>
        <v/>
      </c>
      <c r="F519">
        <f>IF(OR($A519="",D519=0),"",C519/D519*E519)</f>
        <v/>
      </c>
      <c r="G519">
        <f>IF($A519="","",C519+F519)</f>
        <v/>
      </c>
      <c r="H519">
        <f>IF($A519="","",SUMIFS(Contributions!E:E,Contributions!C:C,$B519,Contributions!F:F,"Reinvest",Contributions!G:G,$A519))</f>
        <v/>
      </c>
      <c r="I519">
        <f>IF($A519="","",G519-H519)</f>
        <v/>
      </c>
    </row>
    <row r="520">
      <c r="C520">
        <f>IF($A520="","",SUMIFS(Contributions!E:E,Contributions!B:B,$A520,Contributions!C:C,$B520))</f>
        <v/>
      </c>
      <c r="D520">
        <f>IF($A520="","",SUMIFS(Contributions!E:E,Contributions!B:B,$A520))</f>
        <v/>
      </c>
      <c r="E520">
        <f>IF($A520="","",XLOOKUP($A520,Returns!A:A,Returns!E:E))</f>
        <v/>
      </c>
      <c r="F520">
        <f>IF(OR($A520="",D520=0),"",C520/D520*E520)</f>
        <v/>
      </c>
      <c r="G520">
        <f>IF($A520="","",C520+F520)</f>
        <v/>
      </c>
      <c r="H520">
        <f>IF($A520="","",SUMIFS(Contributions!E:E,Contributions!C:C,$B520,Contributions!F:F,"Reinvest",Contributions!G:G,$A520))</f>
        <v/>
      </c>
      <c r="I520">
        <f>IF($A520="","",G520-H520)</f>
        <v/>
      </c>
    </row>
    <row r="521">
      <c r="C521">
        <f>IF($A521="","",SUMIFS(Contributions!E:E,Contributions!B:B,$A521,Contributions!C:C,$B521))</f>
        <v/>
      </c>
      <c r="D521">
        <f>IF($A521="","",SUMIFS(Contributions!E:E,Contributions!B:B,$A521))</f>
        <v/>
      </c>
      <c r="E521">
        <f>IF($A521="","",XLOOKUP($A521,Returns!A:A,Returns!E:E))</f>
        <v/>
      </c>
      <c r="F521">
        <f>IF(OR($A521="",D521=0),"",C521/D521*E521)</f>
        <v/>
      </c>
      <c r="G521">
        <f>IF($A521="","",C521+F521)</f>
        <v/>
      </c>
      <c r="H521">
        <f>IF($A521="","",SUMIFS(Contributions!E:E,Contributions!C:C,$B521,Contributions!F:F,"Reinvest",Contributions!G:G,$A521))</f>
        <v/>
      </c>
      <c r="I521">
        <f>IF($A521="","",G521-H521)</f>
        <v/>
      </c>
    </row>
    <row r="522">
      <c r="C522">
        <f>IF($A522="","",SUMIFS(Contributions!E:E,Contributions!B:B,$A522,Contributions!C:C,$B522))</f>
        <v/>
      </c>
      <c r="D522">
        <f>IF($A522="","",SUMIFS(Contributions!E:E,Contributions!B:B,$A522))</f>
        <v/>
      </c>
      <c r="E522">
        <f>IF($A522="","",XLOOKUP($A522,Returns!A:A,Returns!E:E))</f>
        <v/>
      </c>
      <c r="F522">
        <f>IF(OR($A522="",D522=0),"",C522/D522*E522)</f>
        <v/>
      </c>
      <c r="G522">
        <f>IF($A522="","",C522+F522)</f>
        <v/>
      </c>
      <c r="H522">
        <f>IF($A522="","",SUMIFS(Contributions!E:E,Contributions!C:C,$B522,Contributions!F:F,"Reinvest",Contributions!G:G,$A522))</f>
        <v/>
      </c>
      <c r="I522">
        <f>IF($A522="","",G522-H522)</f>
        <v/>
      </c>
    </row>
    <row r="523">
      <c r="C523">
        <f>IF($A523="","",SUMIFS(Contributions!E:E,Contributions!B:B,$A523,Contributions!C:C,$B523))</f>
        <v/>
      </c>
      <c r="D523">
        <f>IF($A523="","",SUMIFS(Contributions!E:E,Contributions!B:B,$A523))</f>
        <v/>
      </c>
      <c r="E523">
        <f>IF($A523="","",XLOOKUP($A523,Returns!A:A,Returns!E:E))</f>
        <v/>
      </c>
      <c r="F523">
        <f>IF(OR($A523="",D523=0),"",C523/D523*E523)</f>
        <v/>
      </c>
      <c r="G523">
        <f>IF($A523="","",C523+F523)</f>
        <v/>
      </c>
      <c r="H523">
        <f>IF($A523="","",SUMIFS(Contributions!E:E,Contributions!C:C,$B523,Contributions!F:F,"Reinvest",Contributions!G:G,$A523))</f>
        <v/>
      </c>
      <c r="I523">
        <f>IF($A523="","",G523-H523)</f>
        <v/>
      </c>
    </row>
    <row r="524">
      <c r="C524">
        <f>IF($A524="","",SUMIFS(Contributions!E:E,Contributions!B:B,$A524,Contributions!C:C,$B524))</f>
        <v/>
      </c>
      <c r="D524">
        <f>IF($A524="","",SUMIFS(Contributions!E:E,Contributions!B:B,$A524))</f>
        <v/>
      </c>
      <c r="E524">
        <f>IF($A524="","",XLOOKUP($A524,Returns!A:A,Returns!E:E))</f>
        <v/>
      </c>
      <c r="F524">
        <f>IF(OR($A524="",D524=0),"",C524/D524*E524)</f>
        <v/>
      </c>
      <c r="G524">
        <f>IF($A524="","",C524+F524)</f>
        <v/>
      </c>
      <c r="H524">
        <f>IF($A524="","",SUMIFS(Contributions!E:E,Contributions!C:C,$B524,Contributions!F:F,"Reinvest",Contributions!G:G,$A524))</f>
        <v/>
      </c>
      <c r="I524">
        <f>IF($A524="","",G524-H524)</f>
        <v/>
      </c>
    </row>
    <row r="525">
      <c r="C525">
        <f>IF($A525="","",SUMIFS(Contributions!E:E,Contributions!B:B,$A525,Contributions!C:C,$B525))</f>
        <v/>
      </c>
      <c r="D525">
        <f>IF($A525="","",SUMIFS(Contributions!E:E,Contributions!B:B,$A525))</f>
        <v/>
      </c>
      <c r="E525">
        <f>IF($A525="","",XLOOKUP($A525,Returns!A:A,Returns!E:E))</f>
        <v/>
      </c>
      <c r="F525">
        <f>IF(OR($A525="",D525=0),"",C525/D525*E525)</f>
        <v/>
      </c>
      <c r="G525">
        <f>IF($A525="","",C525+F525)</f>
        <v/>
      </c>
      <c r="H525">
        <f>IF($A525="","",SUMIFS(Contributions!E:E,Contributions!C:C,$B525,Contributions!F:F,"Reinvest",Contributions!G:G,$A525))</f>
        <v/>
      </c>
      <c r="I525">
        <f>IF($A525="","",G525-H525)</f>
        <v/>
      </c>
    </row>
    <row r="526">
      <c r="C526">
        <f>IF($A526="","",SUMIFS(Contributions!E:E,Contributions!B:B,$A526,Contributions!C:C,$B526))</f>
        <v/>
      </c>
      <c r="D526">
        <f>IF($A526="","",SUMIFS(Contributions!E:E,Contributions!B:B,$A526))</f>
        <v/>
      </c>
      <c r="E526">
        <f>IF($A526="","",XLOOKUP($A526,Returns!A:A,Returns!E:E))</f>
        <v/>
      </c>
      <c r="F526">
        <f>IF(OR($A526="",D526=0),"",C526/D526*E526)</f>
        <v/>
      </c>
      <c r="G526">
        <f>IF($A526="","",C526+F526)</f>
        <v/>
      </c>
      <c r="H526">
        <f>IF($A526="","",SUMIFS(Contributions!E:E,Contributions!C:C,$B526,Contributions!F:F,"Reinvest",Contributions!G:G,$A526))</f>
        <v/>
      </c>
      <c r="I526">
        <f>IF($A526="","",G526-H526)</f>
        <v/>
      </c>
    </row>
    <row r="527">
      <c r="C527">
        <f>IF($A527="","",SUMIFS(Contributions!E:E,Contributions!B:B,$A527,Contributions!C:C,$B527))</f>
        <v/>
      </c>
      <c r="D527">
        <f>IF($A527="","",SUMIFS(Contributions!E:E,Contributions!B:B,$A527))</f>
        <v/>
      </c>
      <c r="E527">
        <f>IF($A527="","",XLOOKUP($A527,Returns!A:A,Returns!E:E))</f>
        <v/>
      </c>
      <c r="F527">
        <f>IF(OR($A527="",D527=0),"",C527/D527*E527)</f>
        <v/>
      </c>
      <c r="G527">
        <f>IF($A527="","",C527+F527)</f>
        <v/>
      </c>
      <c r="H527">
        <f>IF($A527="","",SUMIFS(Contributions!E:E,Contributions!C:C,$B527,Contributions!F:F,"Reinvest",Contributions!G:G,$A527))</f>
        <v/>
      </c>
      <c r="I527">
        <f>IF($A527="","",G527-H527)</f>
        <v/>
      </c>
    </row>
    <row r="528">
      <c r="C528">
        <f>IF($A528="","",SUMIFS(Contributions!E:E,Contributions!B:B,$A528,Contributions!C:C,$B528))</f>
        <v/>
      </c>
      <c r="D528">
        <f>IF($A528="","",SUMIFS(Contributions!E:E,Contributions!B:B,$A528))</f>
        <v/>
      </c>
      <c r="E528">
        <f>IF($A528="","",XLOOKUP($A528,Returns!A:A,Returns!E:E))</f>
        <v/>
      </c>
      <c r="F528">
        <f>IF(OR($A528="",D528=0),"",C528/D528*E528)</f>
        <v/>
      </c>
      <c r="G528">
        <f>IF($A528="","",C528+F528)</f>
        <v/>
      </c>
      <c r="H528">
        <f>IF($A528="","",SUMIFS(Contributions!E:E,Contributions!C:C,$B528,Contributions!F:F,"Reinvest",Contributions!G:G,$A528))</f>
        <v/>
      </c>
      <c r="I528">
        <f>IF($A528="","",G528-H528)</f>
        <v/>
      </c>
    </row>
    <row r="529">
      <c r="C529">
        <f>IF($A529="","",SUMIFS(Contributions!E:E,Contributions!B:B,$A529,Contributions!C:C,$B529))</f>
        <v/>
      </c>
      <c r="D529">
        <f>IF($A529="","",SUMIFS(Contributions!E:E,Contributions!B:B,$A529))</f>
        <v/>
      </c>
      <c r="E529">
        <f>IF($A529="","",XLOOKUP($A529,Returns!A:A,Returns!E:E))</f>
        <v/>
      </c>
      <c r="F529">
        <f>IF(OR($A529="",D529=0),"",C529/D529*E529)</f>
        <v/>
      </c>
      <c r="G529">
        <f>IF($A529="","",C529+F529)</f>
        <v/>
      </c>
      <c r="H529">
        <f>IF($A529="","",SUMIFS(Contributions!E:E,Contributions!C:C,$B529,Contributions!F:F,"Reinvest",Contributions!G:G,$A529))</f>
        <v/>
      </c>
      <c r="I529">
        <f>IF($A529="","",G529-H529)</f>
        <v/>
      </c>
    </row>
    <row r="530">
      <c r="C530">
        <f>IF($A530="","",SUMIFS(Contributions!E:E,Contributions!B:B,$A530,Contributions!C:C,$B530))</f>
        <v/>
      </c>
      <c r="D530">
        <f>IF($A530="","",SUMIFS(Contributions!E:E,Contributions!B:B,$A530))</f>
        <v/>
      </c>
      <c r="E530">
        <f>IF($A530="","",XLOOKUP($A530,Returns!A:A,Returns!E:E))</f>
        <v/>
      </c>
      <c r="F530">
        <f>IF(OR($A530="",D530=0),"",C530/D530*E530)</f>
        <v/>
      </c>
      <c r="G530">
        <f>IF($A530="","",C530+F530)</f>
        <v/>
      </c>
      <c r="H530">
        <f>IF($A530="","",SUMIFS(Contributions!E:E,Contributions!C:C,$B530,Contributions!F:F,"Reinvest",Contributions!G:G,$A530))</f>
        <v/>
      </c>
      <c r="I530">
        <f>IF($A530="","",G530-H530)</f>
        <v/>
      </c>
    </row>
    <row r="531">
      <c r="C531">
        <f>IF($A531="","",SUMIFS(Contributions!E:E,Contributions!B:B,$A531,Contributions!C:C,$B531))</f>
        <v/>
      </c>
      <c r="D531">
        <f>IF($A531="","",SUMIFS(Contributions!E:E,Contributions!B:B,$A531))</f>
        <v/>
      </c>
      <c r="E531">
        <f>IF($A531="","",XLOOKUP($A531,Returns!A:A,Returns!E:E))</f>
        <v/>
      </c>
      <c r="F531">
        <f>IF(OR($A531="",D531=0),"",C531/D531*E531)</f>
        <v/>
      </c>
      <c r="G531">
        <f>IF($A531="","",C531+F531)</f>
        <v/>
      </c>
      <c r="H531">
        <f>IF($A531="","",SUMIFS(Contributions!E:E,Contributions!C:C,$B531,Contributions!F:F,"Reinvest",Contributions!G:G,$A531))</f>
        <v/>
      </c>
      <c r="I531">
        <f>IF($A531="","",G531-H531)</f>
        <v/>
      </c>
    </row>
    <row r="532">
      <c r="C532">
        <f>IF($A532="","",SUMIFS(Contributions!E:E,Contributions!B:B,$A532,Contributions!C:C,$B532))</f>
        <v/>
      </c>
      <c r="D532">
        <f>IF($A532="","",SUMIFS(Contributions!E:E,Contributions!B:B,$A532))</f>
        <v/>
      </c>
      <c r="E532">
        <f>IF($A532="","",XLOOKUP($A532,Returns!A:A,Returns!E:E))</f>
        <v/>
      </c>
      <c r="F532">
        <f>IF(OR($A532="",D532=0),"",C532/D532*E532)</f>
        <v/>
      </c>
      <c r="G532">
        <f>IF($A532="","",C532+F532)</f>
        <v/>
      </c>
      <c r="H532">
        <f>IF($A532="","",SUMIFS(Contributions!E:E,Contributions!C:C,$B532,Contributions!F:F,"Reinvest",Contributions!G:G,$A532))</f>
        <v/>
      </c>
      <c r="I532">
        <f>IF($A532="","",G532-H532)</f>
        <v/>
      </c>
    </row>
    <row r="533">
      <c r="C533">
        <f>IF($A533="","",SUMIFS(Contributions!E:E,Contributions!B:B,$A533,Contributions!C:C,$B533))</f>
        <v/>
      </c>
      <c r="D533">
        <f>IF($A533="","",SUMIFS(Contributions!E:E,Contributions!B:B,$A533))</f>
        <v/>
      </c>
      <c r="E533">
        <f>IF($A533="","",XLOOKUP($A533,Returns!A:A,Returns!E:E))</f>
        <v/>
      </c>
      <c r="F533">
        <f>IF(OR($A533="",D533=0),"",C533/D533*E533)</f>
        <v/>
      </c>
      <c r="G533">
        <f>IF($A533="","",C533+F533)</f>
        <v/>
      </c>
      <c r="H533">
        <f>IF($A533="","",SUMIFS(Contributions!E:E,Contributions!C:C,$B533,Contributions!F:F,"Reinvest",Contributions!G:G,$A533))</f>
        <v/>
      </c>
      <c r="I533">
        <f>IF($A533="","",G533-H533)</f>
        <v/>
      </c>
    </row>
    <row r="534">
      <c r="C534">
        <f>IF($A534="","",SUMIFS(Contributions!E:E,Contributions!B:B,$A534,Contributions!C:C,$B534))</f>
        <v/>
      </c>
      <c r="D534">
        <f>IF($A534="","",SUMIFS(Contributions!E:E,Contributions!B:B,$A534))</f>
        <v/>
      </c>
      <c r="E534">
        <f>IF($A534="","",XLOOKUP($A534,Returns!A:A,Returns!E:E))</f>
        <v/>
      </c>
      <c r="F534">
        <f>IF(OR($A534="",D534=0),"",C534/D534*E534)</f>
        <v/>
      </c>
      <c r="G534">
        <f>IF($A534="","",C534+F534)</f>
        <v/>
      </c>
      <c r="H534">
        <f>IF($A534="","",SUMIFS(Contributions!E:E,Contributions!C:C,$B534,Contributions!F:F,"Reinvest",Contributions!G:G,$A534))</f>
        <v/>
      </c>
      <c r="I534">
        <f>IF($A534="","",G534-H534)</f>
        <v/>
      </c>
    </row>
    <row r="535">
      <c r="C535">
        <f>IF($A535="","",SUMIFS(Contributions!E:E,Contributions!B:B,$A535,Contributions!C:C,$B535))</f>
        <v/>
      </c>
      <c r="D535">
        <f>IF($A535="","",SUMIFS(Contributions!E:E,Contributions!B:B,$A535))</f>
        <v/>
      </c>
      <c r="E535">
        <f>IF($A535="","",XLOOKUP($A535,Returns!A:A,Returns!E:E))</f>
        <v/>
      </c>
      <c r="F535">
        <f>IF(OR($A535="",D535=0),"",C535/D535*E535)</f>
        <v/>
      </c>
      <c r="G535">
        <f>IF($A535="","",C535+F535)</f>
        <v/>
      </c>
      <c r="H535">
        <f>IF($A535="","",SUMIFS(Contributions!E:E,Contributions!C:C,$B535,Contributions!F:F,"Reinvest",Contributions!G:G,$A535))</f>
        <v/>
      </c>
      <c r="I535">
        <f>IF($A535="","",G535-H535)</f>
        <v/>
      </c>
    </row>
    <row r="536">
      <c r="C536">
        <f>IF($A536="","",SUMIFS(Contributions!E:E,Contributions!B:B,$A536,Contributions!C:C,$B536))</f>
        <v/>
      </c>
      <c r="D536">
        <f>IF($A536="","",SUMIFS(Contributions!E:E,Contributions!B:B,$A536))</f>
        <v/>
      </c>
      <c r="E536">
        <f>IF($A536="","",XLOOKUP($A536,Returns!A:A,Returns!E:E))</f>
        <v/>
      </c>
      <c r="F536">
        <f>IF(OR($A536="",D536=0),"",C536/D536*E536)</f>
        <v/>
      </c>
      <c r="G536">
        <f>IF($A536="","",C536+F536)</f>
        <v/>
      </c>
      <c r="H536">
        <f>IF($A536="","",SUMIFS(Contributions!E:E,Contributions!C:C,$B536,Contributions!F:F,"Reinvest",Contributions!G:G,$A536))</f>
        <v/>
      </c>
      <c r="I536">
        <f>IF($A536="","",G536-H536)</f>
        <v/>
      </c>
    </row>
    <row r="537">
      <c r="C537">
        <f>IF($A537="","",SUMIFS(Contributions!E:E,Contributions!B:B,$A537,Contributions!C:C,$B537))</f>
        <v/>
      </c>
      <c r="D537">
        <f>IF($A537="","",SUMIFS(Contributions!E:E,Contributions!B:B,$A537))</f>
        <v/>
      </c>
      <c r="E537">
        <f>IF($A537="","",XLOOKUP($A537,Returns!A:A,Returns!E:E))</f>
        <v/>
      </c>
      <c r="F537">
        <f>IF(OR($A537="",D537=0),"",C537/D537*E537)</f>
        <v/>
      </c>
      <c r="G537">
        <f>IF($A537="","",C537+F537)</f>
        <v/>
      </c>
      <c r="H537">
        <f>IF($A537="","",SUMIFS(Contributions!E:E,Contributions!C:C,$B537,Contributions!F:F,"Reinvest",Contributions!G:G,$A537))</f>
        <v/>
      </c>
      <c r="I537">
        <f>IF($A537="","",G537-H537)</f>
        <v/>
      </c>
    </row>
    <row r="538">
      <c r="C538">
        <f>IF($A538="","",SUMIFS(Contributions!E:E,Contributions!B:B,$A538,Contributions!C:C,$B538))</f>
        <v/>
      </c>
      <c r="D538">
        <f>IF($A538="","",SUMIFS(Contributions!E:E,Contributions!B:B,$A538))</f>
        <v/>
      </c>
      <c r="E538">
        <f>IF($A538="","",XLOOKUP($A538,Returns!A:A,Returns!E:E))</f>
        <v/>
      </c>
      <c r="F538">
        <f>IF(OR($A538="",D538=0),"",C538/D538*E538)</f>
        <v/>
      </c>
      <c r="G538">
        <f>IF($A538="","",C538+F538)</f>
        <v/>
      </c>
      <c r="H538">
        <f>IF($A538="","",SUMIFS(Contributions!E:E,Contributions!C:C,$B538,Contributions!F:F,"Reinvest",Contributions!G:G,$A538))</f>
        <v/>
      </c>
      <c r="I538">
        <f>IF($A538="","",G538-H538)</f>
        <v/>
      </c>
    </row>
    <row r="539">
      <c r="C539">
        <f>IF($A539="","",SUMIFS(Contributions!E:E,Contributions!B:B,$A539,Contributions!C:C,$B539))</f>
        <v/>
      </c>
      <c r="D539">
        <f>IF($A539="","",SUMIFS(Contributions!E:E,Contributions!B:B,$A539))</f>
        <v/>
      </c>
      <c r="E539">
        <f>IF($A539="","",XLOOKUP($A539,Returns!A:A,Returns!E:E))</f>
        <v/>
      </c>
      <c r="F539">
        <f>IF(OR($A539="",D539=0),"",C539/D539*E539)</f>
        <v/>
      </c>
      <c r="G539">
        <f>IF($A539="","",C539+F539)</f>
        <v/>
      </c>
      <c r="H539">
        <f>IF($A539="","",SUMIFS(Contributions!E:E,Contributions!C:C,$B539,Contributions!F:F,"Reinvest",Contributions!G:G,$A539))</f>
        <v/>
      </c>
      <c r="I539">
        <f>IF($A539="","",G539-H539)</f>
        <v/>
      </c>
    </row>
    <row r="540">
      <c r="C540">
        <f>IF($A540="","",SUMIFS(Contributions!E:E,Contributions!B:B,$A540,Contributions!C:C,$B540))</f>
        <v/>
      </c>
      <c r="D540">
        <f>IF($A540="","",SUMIFS(Contributions!E:E,Contributions!B:B,$A540))</f>
        <v/>
      </c>
      <c r="E540">
        <f>IF($A540="","",XLOOKUP($A540,Returns!A:A,Returns!E:E))</f>
        <v/>
      </c>
      <c r="F540">
        <f>IF(OR($A540="",D540=0),"",C540/D540*E540)</f>
        <v/>
      </c>
      <c r="G540">
        <f>IF($A540="","",C540+F540)</f>
        <v/>
      </c>
      <c r="H540">
        <f>IF($A540="","",SUMIFS(Contributions!E:E,Contributions!C:C,$B540,Contributions!F:F,"Reinvest",Contributions!G:G,$A540))</f>
        <v/>
      </c>
      <c r="I540">
        <f>IF($A540="","",G540-H540)</f>
        <v/>
      </c>
    </row>
    <row r="541">
      <c r="C541">
        <f>IF($A541="","",SUMIFS(Contributions!E:E,Contributions!B:B,$A541,Contributions!C:C,$B541))</f>
        <v/>
      </c>
      <c r="D541">
        <f>IF($A541="","",SUMIFS(Contributions!E:E,Contributions!B:B,$A541))</f>
        <v/>
      </c>
      <c r="E541">
        <f>IF($A541="","",XLOOKUP($A541,Returns!A:A,Returns!E:E))</f>
        <v/>
      </c>
      <c r="F541">
        <f>IF(OR($A541="",D541=0),"",C541/D541*E541)</f>
        <v/>
      </c>
      <c r="G541">
        <f>IF($A541="","",C541+F541)</f>
        <v/>
      </c>
      <c r="H541">
        <f>IF($A541="","",SUMIFS(Contributions!E:E,Contributions!C:C,$B541,Contributions!F:F,"Reinvest",Contributions!G:G,$A541))</f>
        <v/>
      </c>
      <c r="I541">
        <f>IF($A541="","",G541-H541)</f>
        <v/>
      </c>
    </row>
    <row r="542">
      <c r="C542">
        <f>IF($A542="","",SUMIFS(Contributions!E:E,Contributions!B:B,$A542,Contributions!C:C,$B542))</f>
        <v/>
      </c>
      <c r="D542">
        <f>IF($A542="","",SUMIFS(Contributions!E:E,Contributions!B:B,$A542))</f>
        <v/>
      </c>
      <c r="E542">
        <f>IF($A542="","",XLOOKUP($A542,Returns!A:A,Returns!E:E))</f>
        <v/>
      </c>
      <c r="F542">
        <f>IF(OR($A542="",D542=0),"",C542/D542*E542)</f>
        <v/>
      </c>
      <c r="G542">
        <f>IF($A542="","",C542+F542)</f>
        <v/>
      </c>
      <c r="H542">
        <f>IF($A542="","",SUMIFS(Contributions!E:E,Contributions!C:C,$B542,Contributions!F:F,"Reinvest",Contributions!G:G,$A542))</f>
        <v/>
      </c>
      <c r="I542">
        <f>IF($A542="","",G542-H542)</f>
        <v/>
      </c>
    </row>
    <row r="543">
      <c r="C543">
        <f>IF($A543="","",SUMIFS(Contributions!E:E,Contributions!B:B,$A543,Contributions!C:C,$B543))</f>
        <v/>
      </c>
      <c r="D543">
        <f>IF($A543="","",SUMIFS(Contributions!E:E,Contributions!B:B,$A543))</f>
        <v/>
      </c>
      <c r="E543">
        <f>IF($A543="","",XLOOKUP($A543,Returns!A:A,Returns!E:E))</f>
        <v/>
      </c>
      <c r="F543">
        <f>IF(OR($A543="",D543=0),"",C543/D543*E543)</f>
        <v/>
      </c>
      <c r="G543">
        <f>IF($A543="","",C543+F543)</f>
        <v/>
      </c>
      <c r="H543">
        <f>IF($A543="","",SUMIFS(Contributions!E:E,Contributions!C:C,$B543,Contributions!F:F,"Reinvest",Contributions!G:G,$A543))</f>
        <v/>
      </c>
      <c r="I543">
        <f>IF($A543="","",G543-H543)</f>
        <v/>
      </c>
    </row>
    <row r="544">
      <c r="C544">
        <f>IF($A544="","",SUMIFS(Contributions!E:E,Contributions!B:B,$A544,Contributions!C:C,$B544))</f>
        <v/>
      </c>
      <c r="D544">
        <f>IF($A544="","",SUMIFS(Contributions!E:E,Contributions!B:B,$A544))</f>
        <v/>
      </c>
      <c r="E544">
        <f>IF($A544="","",XLOOKUP($A544,Returns!A:A,Returns!E:E))</f>
        <v/>
      </c>
      <c r="F544">
        <f>IF(OR($A544="",D544=0),"",C544/D544*E544)</f>
        <v/>
      </c>
      <c r="G544">
        <f>IF($A544="","",C544+F544)</f>
        <v/>
      </c>
      <c r="H544">
        <f>IF($A544="","",SUMIFS(Contributions!E:E,Contributions!C:C,$B544,Contributions!F:F,"Reinvest",Contributions!G:G,$A544))</f>
        <v/>
      </c>
      <c r="I544">
        <f>IF($A544="","",G544-H544)</f>
        <v/>
      </c>
    </row>
    <row r="545">
      <c r="C545">
        <f>IF($A545="","",SUMIFS(Contributions!E:E,Contributions!B:B,$A545,Contributions!C:C,$B545))</f>
        <v/>
      </c>
      <c r="D545">
        <f>IF($A545="","",SUMIFS(Contributions!E:E,Contributions!B:B,$A545))</f>
        <v/>
      </c>
      <c r="E545">
        <f>IF($A545="","",XLOOKUP($A545,Returns!A:A,Returns!E:E))</f>
        <v/>
      </c>
      <c r="F545">
        <f>IF(OR($A545="",D545=0),"",C545/D545*E545)</f>
        <v/>
      </c>
      <c r="G545">
        <f>IF($A545="","",C545+F545)</f>
        <v/>
      </c>
      <c r="H545">
        <f>IF($A545="","",SUMIFS(Contributions!E:E,Contributions!C:C,$B545,Contributions!F:F,"Reinvest",Contributions!G:G,$A545))</f>
        <v/>
      </c>
      <c r="I545">
        <f>IF($A545="","",G545-H545)</f>
        <v/>
      </c>
    </row>
    <row r="546">
      <c r="C546">
        <f>IF($A546="","",SUMIFS(Contributions!E:E,Contributions!B:B,$A546,Contributions!C:C,$B546))</f>
        <v/>
      </c>
      <c r="D546">
        <f>IF($A546="","",SUMIFS(Contributions!E:E,Contributions!B:B,$A546))</f>
        <v/>
      </c>
      <c r="E546">
        <f>IF($A546="","",XLOOKUP($A546,Returns!A:A,Returns!E:E))</f>
        <v/>
      </c>
      <c r="F546">
        <f>IF(OR($A546="",D546=0),"",C546/D546*E546)</f>
        <v/>
      </c>
      <c r="G546">
        <f>IF($A546="","",C546+F546)</f>
        <v/>
      </c>
      <c r="H546">
        <f>IF($A546="","",SUMIFS(Contributions!E:E,Contributions!C:C,$B546,Contributions!F:F,"Reinvest",Contributions!G:G,$A546))</f>
        <v/>
      </c>
      <c r="I546">
        <f>IF($A546="","",G546-H546)</f>
        <v/>
      </c>
    </row>
    <row r="547">
      <c r="C547">
        <f>IF($A547="","",SUMIFS(Contributions!E:E,Contributions!B:B,$A547,Contributions!C:C,$B547))</f>
        <v/>
      </c>
      <c r="D547">
        <f>IF($A547="","",SUMIFS(Contributions!E:E,Contributions!B:B,$A547))</f>
        <v/>
      </c>
      <c r="E547">
        <f>IF($A547="","",XLOOKUP($A547,Returns!A:A,Returns!E:E))</f>
        <v/>
      </c>
      <c r="F547">
        <f>IF(OR($A547="",D547=0),"",C547/D547*E547)</f>
        <v/>
      </c>
      <c r="G547">
        <f>IF($A547="","",C547+F547)</f>
        <v/>
      </c>
      <c r="H547">
        <f>IF($A547="","",SUMIFS(Contributions!E:E,Contributions!C:C,$B547,Contributions!F:F,"Reinvest",Contributions!G:G,$A547))</f>
        <v/>
      </c>
      <c r="I547">
        <f>IF($A547="","",G547-H547)</f>
        <v/>
      </c>
    </row>
    <row r="548">
      <c r="C548">
        <f>IF($A548="","",SUMIFS(Contributions!E:E,Contributions!B:B,$A548,Contributions!C:C,$B548))</f>
        <v/>
      </c>
      <c r="D548">
        <f>IF($A548="","",SUMIFS(Contributions!E:E,Contributions!B:B,$A548))</f>
        <v/>
      </c>
      <c r="E548">
        <f>IF($A548="","",XLOOKUP($A548,Returns!A:A,Returns!E:E))</f>
        <v/>
      </c>
      <c r="F548">
        <f>IF(OR($A548="",D548=0),"",C548/D548*E548)</f>
        <v/>
      </c>
      <c r="G548">
        <f>IF($A548="","",C548+F548)</f>
        <v/>
      </c>
      <c r="H548">
        <f>IF($A548="","",SUMIFS(Contributions!E:E,Contributions!C:C,$B548,Contributions!F:F,"Reinvest",Contributions!G:G,$A548))</f>
        <v/>
      </c>
      <c r="I548">
        <f>IF($A548="","",G548-H548)</f>
        <v/>
      </c>
    </row>
    <row r="549">
      <c r="C549">
        <f>IF($A549="","",SUMIFS(Contributions!E:E,Contributions!B:B,$A549,Contributions!C:C,$B549))</f>
        <v/>
      </c>
      <c r="D549">
        <f>IF($A549="","",SUMIFS(Contributions!E:E,Contributions!B:B,$A549))</f>
        <v/>
      </c>
      <c r="E549">
        <f>IF($A549="","",XLOOKUP($A549,Returns!A:A,Returns!E:E))</f>
        <v/>
      </c>
      <c r="F549">
        <f>IF(OR($A549="",D549=0),"",C549/D549*E549)</f>
        <v/>
      </c>
      <c r="G549">
        <f>IF($A549="","",C549+F549)</f>
        <v/>
      </c>
      <c r="H549">
        <f>IF($A549="","",SUMIFS(Contributions!E:E,Contributions!C:C,$B549,Contributions!F:F,"Reinvest",Contributions!G:G,$A549))</f>
        <v/>
      </c>
      <c r="I549">
        <f>IF($A549="","",G549-H549)</f>
        <v/>
      </c>
    </row>
    <row r="550">
      <c r="C550">
        <f>IF($A550="","",SUMIFS(Contributions!E:E,Contributions!B:B,$A550,Contributions!C:C,$B550))</f>
        <v/>
      </c>
      <c r="D550">
        <f>IF($A550="","",SUMIFS(Contributions!E:E,Contributions!B:B,$A550))</f>
        <v/>
      </c>
      <c r="E550">
        <f>IF($A550="","",XLOOKUP($A550,Returns!A:A,Returns!E:E))</f>
        <v/>
      </c>
      <c r="F550">
        <f>IF(OR($A550="",D550=0),"",C550/D550*E550)</f>
        <v/>
      </c>
      <c r="G550">
        <f>IF($A550="","",C550+F550)</f>
        <v/>
      </c>
      <c r="H550">
        <f>IF($A550="","",SUMIFS(Contributions!E:E,Contributions!C:C,$B550,Contributions!F:F,"Reinvest",Contributions!G:G,$A550))</f>
        <v/>
      </c>
      <c r="I550">
        <f>IF($A550="","",G550-H550)</f>
        <v/>
      </c>
    </row>
    <row r="551">
      <c r="C551">
        <f>IF($A551="","",SUMIFS(Contributions!E:E,Contributions!B:B,$A551,Contributions!C:C,$B551))</f>
        <v/>
      </c>
      <c r="D551">
        <f>IF($A551="","",SUMIFS(Contributions!E:E,Contributions!B:B,$A551))</f>
        <v/>
      </c>
      <c r="E551">
        <f>IF($A551="","",XLOOKUP($A551,Returns!A:A,Returns!E:E))</f>
        <v/>
      </c>
      <c r="F551">
        <f>IF(OR($A551="",D551=0),"",C551/D551*E551)</f>
        <v/>
      </c>
      <c r="G551">
        <f>IF($A551="","",C551+F551)</f>
        <v/>
      </c>
      <c r="H551">
        <f>IF($A551="","",SUMIFS(Contributions!E:E,Contributions!C:C,$B551,Contributions!F:F,"Reinvest",Contributions!G:G,$A551))</f>
        <v/>
      </c>
      <c r="I551">
        <f>IF($A551="","",G551-H551)</f>
        <v/>
      </c>
    </row>
    <row r="552">
      <c r="C552">
        <f>IF($A552="","",SUMIFS(Contributions!E:E,Contributions!B:B,$A552,Contributions!C:C,$B552))</f>
        <v/>
      </c>
      <c r="D552">
        <f>IF($A552="","",SUMIFS(Contributions!E:E,Contributions!B:B,$A552))</f>
        <v/>
      </c>
      <c r="E552">
        <f>IF($A552="","",XLOOKUP($A552,Returns!A:A,Returns!E:E))</f>
        <v/>
      </c>
      <c r="F552">
        <f>IF(OR($A552="",D552=0),"",C552/D552*E552)</f>
        <v/>
      </c>
      <c r="G552">
        <f>IF($A552="","",C552+F552)</f>
        <v/>
      </c>
      <c r="H552">
        <f>IF($A552="","",SUMIFS(Contributions!E:E,Contributions!C:C,$B552,Contributions!F:F,"Reinvest",Contributions!G:G,$A552))</f>
        <v/>
      </c>
      <c r="I552">
        <f>IF($A552="","",G552-H552)</f>
        <v/>
      </c>
    </row>
    <row r="553">
      <c r="C553">
        <f>IF($A553="","",SUMIFS(Contributions!E:E,Contributions!B:B,$A553,Contributions!C:C,$B553))</f>
        <v/>
      </c>
      <c r="D553">
        <f>IF($A553="","",SUMIFS(Contributions!E:E,Contributions!B:B,$A553))</f>
        <v/>
      </c>
      <c r="E553">
        <f>IF($A553="","",XLOOKUP($A553,Returns!A:A,Returns!E:E))</f>
        <v/>
      </c>
      <c r="F553">
        <f>IF(OR($A553="",D553=0),"",C553/D553*E553)</f>
        <v/>
      </c>
      <c r="G553">
        <f>IF($A553="","",C553+F553)</f>
        <v/>
      </c>
      <c r="H553">
        <f>IF($A553="","",SUMIFS(Contributions!E:E,Contributions!C:C,$B553,Contributions!F:F,"Reinvest",Contributions!G:G,$A553))</f>
        <v/>
      </c>
      <c r="I553">
        <f>IF($A553="","",G553-H553)</f>
        <v/>
      </c>
    </row>
    <row r="554">
      <c r="C554">
        <f>IF($A554="","",SUMIFS(Contributions!E:E,Contributions!B:B,$A554,Contributions!C:C,$B554))</f>
        <v/>
      </c>
      <c r="D554">
        <f>IF($A554="","",SUMIFS(Contributions!E:E,Contributions!B:B,$A554))</f>
        <v/>
      </c>
      <c r="E554">
        <f>IF($A554="","",XLOOKUP($A554,Returns!A:A,Returns!E:E))</f>
        <v/>
      </c>
      <c r="F554">
        <f>IF(OR($A554="",D554=0),"",C554/D554*E554)</f>
        <v/>
      </c>
      <c r="G554">
        <f>IF($A554="","",C554+F554)</f>
        <v/>
      </c>
      <c r="H554">
        <f>IF($A554="","",SUMIFS(Contributions!E:E,Contributions!C:C,$B554,Contributions!F:F,"Reinvest",Contributions!G:G,$A554))</f>
        <v/>
      </c>
      <c r="I554">
        <f>IF($A554="","",G554-H554)</f>
        <v/>
      </c>
    </row>
    <row r="555">
      <c r="C555">
        <f>IF($A555="","",SUMIFS(Contributions!E:E,Contributions!B:B,$A555,Contributions!C:C,$B555))</f>
        <v/>
      </c>
      <c r="D555">
        <f>IF($A555="","",SUMIFS(Contributions!E:E,Contributions!B:B,$A555))</f>
        <v/>
      </c>
      <c r="E555">
        <f>IF($A555="","",XLOOKUP($A555,Returns!A:A,Returns!E:E))</f>
        <v/>
      </c>
      <c r="F555">
        <f>IF(OR($A555="",D555=0),"",C555/D555*E555)</f>
        <v/>
      </c>
      <c r="G555">
        <f>IF($A555="","",C555+F555)</f>
        <v/>
      </c>
      <c r="H555">
        <f>IF($A555="","",SUMIFS(Contributions!E:E,Contributions!C:C,$B555,Contributions!F:F,"Reinvest",Contributions!G:G,$A555))</f>
        <v/>
      </c>
      <c r="I555">
        <f>IF($A555="","",G555-H555)</f>
        <v/>
      </c>
    </row>
    <row r="556">
      <c r="C556">
        <f>IF($A556="","",SUMIFS(Contributions!E:E,Contributions!B:B,$A556,Contributions!C:C,$B556))</f>
        <v/>
      </c>
      <c r="D556">
        <f>IF($A556="","",SUMIFS(Contributions!E:E,Contributions!B:B,$A556))</f>
        <v/>
      </c>
      <c r="E556">
        <f>IF($A556="","",XLOOKUP($A556,Returns!A:A,Returns!E:E))</f>
        <v/>
      </c>
      <c r="F556">
        <f>IF(OR($A556="",D556=0),"",C556/D556*E556)</f>
        <v/>
      </c>
      <c r="G556">
        <f>IF($A556="","",C556+F556)</f>
        <v/>
      </c>
      <c r="H556">
        <f>IF($A556="","",SUMIFS(Contributions!E:E,Contributions!C:C,$B556,Contributions!F:F,"Reinvest",Contributions!G:G,$A556))</f>
        <v/>
      </c>
      <c r="I556">
        <f>IF($A556="","",G556-H556)</f>
        <v/>
      </c>
    </row>
    <row r="557">
      <c r="C557">
        <f>IF($A557="","",SUMIFS(Contributions!E:E,Contributions!B:B,$A557,Contributions!C:C,$B557))</f>
        <v/>
      </c>
      <c r="D557">
        <f>IF($A557="","",SUMIFS(Contributions!E:E,Contributions!B:B,$A557))</f>
        <v/>
      </c>
      <c r="E557">
        <f>IF($A557="","",XLOOKUP($A557,Returns!A:A,Returns!E:E))</f>
        <v/>
      </c>
      <c r="F557">
        <f>IF(OR($A557="",D557=0),"",C557/D557*E557)</f>
        <v/>
      </c>
      <c r="G557">
        <f>IF($A557="","",C557+F557)</f>
        <v/>
      </c>
      <c r="H557">
        <f>IF($A557="","",SUMIFS(Contributions!E:E,Contributions!C:C,$B557,Contributions!F:F,"Reinvest",Contributions!G:G,$A557))</f>
        <v/>
      </c>
      <c r="I557">
        <f>IF($A557="","",G557-H557)</f>
        <v/>
      </c>
    </row>
    <row r="558">
      <c r="C558">
        <f>IF($A558="","",SUMIFS(Contributions!E:E,Contributions!B:B,$A558,Contributions!C:C,$B558))</f>
        <v/>
      </c>
      <c r="D558">
        <f>IF($A558="","",SUMIFS(Contributions!E:E,Contributions!B:B,$A558))</f>
        <v/>
      </c>
      <c r="E558">
        <f>IF($A558="","",XLOOKUP($A558,Returns!A:A,Returns!E:E))</f>
        <v/>
      </c>
      <c r="F558">
        <f>IF(OR($A558="",D558=0),"",C558/D558*E558)</f>
        <v/>
      </c>
      <c r="G558">
        <f>IF($A558="","",C558+F558)</f>
        <v/>
      </c>
      <c r="H558">
        <f>IF($A558="","",SUMIFS(Contributions!E:E,Contributions!C:C,$B558,Contributions!F:F,"Reinvest",Contributions!G:G,$A558))</f>
        <v/>
      </c>
      <c r="I558">
        <f>IF($A558="","",G558-H558)</f>
        <v/>
      </c>
    </row>
    <row r="559">
      <c r="C559">
        <f>IF($A559="","",SUMIFS(Contributions!E:E,Contributions!B:B,$A559,Contributions!C:C,$B559))</f>
        <v/>
      </c>
      <c r="D559">
        <f>IF($A559="","",SUMIFS(Contributions!E:E,Contributions!B:B,$A559))</f>
        <v/>
      </c>
      <c r="E559">
        <f>IF($A559="","",XLOOKUP($A559,Returns!A:A,Returns!E:E))</f>
        <v/>
      </c>
      <c r="F559">
        <f>IF(OR($A559="",D559=0),"",C559/D559*E559)</f>
        <v/>
      </c>
      <c r="G559">
        <f>IF($A559="","",C559+F559)</f>
        <v/>
      </c>
      <c r="H559">
        <f>IF($A559="","",SUMIFS(Contributions!E:E,Contributions!C:C,$B559,Contributions!F:F,"Reinvest",Contributions!G:G,$A559))</f>
        <v/>
      </c>
      <c r="I559">
        <f>IF($A559="","",G559-H559)</f>
        <v/>
      </c>
    </row>
    <row r="560">
      <c r="C560">
        <f>IF($A560="","",SUMIFS(Contributions!E:E,Contributions!B:B,$A560,Contributions!C:C,$B560))</f>
        <v/>
      </c>
      <c r="D560">
        <f>IF($A560="","",SUMIFS(Contributions!E:E,Contributions!B:B,$A560))</f>
        <v/>
      </c>
      <c r="E560">
        <f>IF($A560="","",XLOOKUP($A560,Returns!A:A,Returns!E:E))</f>
        <v/>
      </c>
      <c r="F560">
        <f>IF(OR($A560="",D560=0),"",C560/D560*E560)</f>
        <v/>
      </c>
      <c r="G560">
        <f>IF($A560="","",C560+F560)</f>
        <v/>
      </c>
      <c r="H560">
        <f>IF($A560="","",SUMIFS(Contributions!E:E,Contributions!C:C,$B560,Contributions!F:F,"Reinvest",Contributions!G:G,$A560))</f>
        <v/>
      </c>
      <c r="I560">
        <f>IF($A560="","",G560-H560)</f>
        <v/>
      </c>
    </row>
    <row r="561">
      <c r="C561">
        <f>IF($A561="","",SUMIFS(Contributions!E:E,Contributions!B:B,$A561,Contributions!C:C,$B561))</f>
        <v/>
      </c>
      <c r="D561">
        <f>IF($A561="","",SUMIFS(Contributions!E:E,Contributions!B:B,$A561))</f>
        <v/>
      </c>
      <c r="E561">
        <f>IF($A561="","",XLOOKUP($A561,Returns!A:A,Returns!E:E))</f>
        <v/>
      </c>
      <c r="F561">
        <f>IF(OR($A561="",D561=0),"",C561/D561*E561)</f>
        <v/>
      </c>
      <c r="G561">
        <f>IF($A561="","",C561+F561)</f>
        <v/>
      </c>
      <c r="H561">
        <f>IF($A561="","",SUMIFS(Contributions!E:E,Contributions!C:C,$B561,Contributions!F:F,"Reinvest",Contributions!G:G,$A561))</f>
        <v/>
      </c>
      <c r="I561">
        <f>IF($A561="","",G561-H561)</f>
        <v/>
      </c>
    </row>
    <row r="562">
      <c r="C562">
        <f>IF($A562="","",SUMIFS(Contributions!E:E,Contributions!B:B,$A562,Contributions!C:C,$B562))</f>
        <v/>
      </c>
      <c r="D562">
        <f>IF($A562="","",SUMIFS(Contributions!E:E,Contributions!B:B,$A562))</f>
        <v/>
      </c>
      <c r="E562">
        <f>IF($A562="","",XLOOKUP($A562,Returns!A:A,Returns!E:E))</f>
        <v/>
      </c>
      <c r="F562">
        <f>IF(OR($A562="",D562=0),"",C562/D562*E562)</f>
        <v/>
      </c>
      <c r="G562">
        <f>IF($A562="","",C562+F562)</f>
        <v/>
      </c>
      <c r="H562">
        <f>IF($A562="","",SUMIFS(Contributions!E:E,Contributions!C:C,$B562,Contributions!F:F,"Reinvest",Contributions!G:G,$A562))</f>
        <v/>
      </c>
      <c r="I562">
        <f>IF($A562="","",G562-H562)</f>
        <v/>
      </c>
    </row>
    <row r="563">
      <c r="C563">
        <f>IF($A563="","",SUMIFS(Contributions!E:E,Contributions!B:B,$A563,Contributions!C:C,$B563))</f>
        <v/>
      </c>
      <c r="D563">
        <f>IF($A563="","",SUMIFS(Contributions!E:E,Contributions!B:B,$A563))</f>
        <v/>
      </c>
      <c r="E563">
        <f>IF($A563="","",XLOOKUP($A563,Returns!A:A,Returns!E:E))</f>
        <v/>
      </c>
      <c r="F563">
        <f>IF(OR($A563="",D563=0),"",C563/D563*E563)</f>
        <v/>
      </c>
      <c r="G563">
        <f>IF($A563="","",C563+F563)</f>
        <v/>
      </c>
      <c r="H563">
        <f>IF($A563="","",SUMIFS(Contributions!E:E,Contributions!C:C,$B563,Contributions!F:F,"Reinvest",Contributions!G:G,$A563))</f>
        <v/>
      </c>
      <c r="I563">
        <f>IF($A563="","",G563-H563)</f>
        <v/>
      </c>
    </row>
    <row r="564">
      <c r="C564">
        <f>IF($A564="","",SUMIFS(Contributions!E:E,Contributions!B:B,$A564,Contributions!C:C,$B564))</f>
        <v/>
      </c>
      <c r="D564">
        <f>IF($A564="","",SUMIFS(Contributions!E:E,Contributions!B:B,$A564))</f>
        <v/>
      </c>
      <c r="E564">
        <f>IF($A564="","",XLOOKUP($A564,Returns!A:A,Returns!E:E))</f>
        <v/>
      </c>
      <c r="F564">
        <f>IF(OR($A564="",D564=0),"",C564/D564*E564)</f>
        <v/>
      </c>
      <c r="G564">
        <f>IF($A564="","",C564+F564)</f>
        <v/>
      </c>
      <c r="H564">
        <f>IF($A564="","",SUMIFS(Contributions!E:E,Contributions!C:C,$B564,Contributions!F:F,"Reinvest",Contributions!G:G,$A564))</f>
        <v/>
      </c>
      <c r="I564">
        <f>IF($A564="","",G564-H564)</f>
        <v/>
      </c>
    </row>
    <row r="565">
      <c r="C565">
        <f>IF($A565="","",SUMIFS(Contributions!E:E,Contributions!B:B,$A565,Contributions!C:C,$B565))</f>
        <v/>
      </c>
      <c r="D565">
        <f>IF($A565="","",SUMIFS(Contributions!E:E,Contributions!B:B,$A565))</f>
        <v/>
      </c>
      <c r="E565">
        <f>IF($A565="","",XLOOKUP($A565,Returns!A:A,Returns!E:E))</f>
        <v/>
      </c>
      <c r="F565">
        <f>IF(OR($A565="",D565=0),"",C565/D565*E565)</f>
        <v/>
      </c>
      <c r="G565">
        <f>IF($A565="","",C565+F565)</f>
        <v/>
      </c>
      <c r="H565">
        <f>IF($A565="","",SUMIFS(Contributions!E:E,Contributions!C:C,$B565,Contributions!F:F,"Reinvest",Contributions!G:G,$A565))</f>
        <v/>
      </c>
      <c r="I565">
        <f>IF($A565="","",G565-H565)</f>
        <v/>
      </c>
    </row>
    <row r="566">
      <c r="C566">
        <f>IF($A566="","",SUMIFS(Contributions!E:E,Contributions!B:B,$A566,Contributions!C:C,$B566))</f>
        <v/>
      </c>
      <c r="D566">
        <f>IF($A566="","",SUMIFS(Contributions!E:E,Contributions!B:B,$A566))</f>
        <v/>
      </c>
      <c r="E566">
        <f>IF($A566="","",XLOOKUP($A566,Returns!A:A,Returns!E:E))</f>
        <v/>
      </c>
      <c r="F566">
        <f>IF(OR($A566="",D566=0),"",C566/D566*E566)</f>
        <v/>
      </c>
      <c r="G566">
        <f>IF($A566="","",C566+F566)</f>
        <v/>
      </c>
      <c r="H566">
        <f>IF($A566="","",SUMIFS(Contributions!E:E,Contributions!C:C,$B566,Contributions!F:F,"Reinvest",Contributions!G:G,$A566))</f>
        <v/>
      </c>
      <c r="I566">
        <f>IF($A566="","",G566-H566)</f>
        <v/>
      </c>
    </row>
    <row r="567">
      <c r="C567">
        <f>IF($A567="","",SUMIFS(Contributions!E:E,Contributions!B:B,$A567,Contributions!C:C,$B567))</f>
        <v/>
      </c>
      <c r="D567">
        <f>IF($A567="","",SUMIFS(Contributions!E:E,Contributions!B:B,$A567))</f>
        <v/>
      </c>
      <c r="E567">
        <f>IF($A567="","",XLOOKUP($A567,Returns!A:A,Returns!E:E))</f>
        <v/>
      </c>
      <c r="F567">
        <f>IF(OR($A567="",D567=0),"",C567/D567*E567)</f>
        <v/>
      </c>
      <c r="G567">
        <f>IF($A567="","",C567+F567)</f>
        <v/>
      </c>
      <c r="H567">
        <f>IF($A567="","",SUMIFS(Contributions!E:E,Contributions!C:C,$B567,Contributions!F:F,"Reinvest",Contributions!G:G,$A567))</f>
        <v/>
      </c>
      <c r="I567">
        <f>IF($A567="","",G567-H567)</f>
        <v/>
      </c>
    </row>
    <row r="568">
      <c r="C568">
        <f>IF($A568="","",SUMIFS(Contributions!E:E,Contributions!B:B,$A568,Contributions!C:C,$B568))</f>
        <v/>
      </c>
      <c r="D568">
        <f>IF($A568="","",SUMIFS(Contributions!E:E,Contributions!B:B,$A568))</f>
        <v/>
      </c>
      <c r="E568">
        <f>IF($A568="","",XLOOKUP($A568,Returns!A:A,Returns!E:E))</f>
        <v/>
      </c>
      <c r="F568">
        <f>IF(OR($A568="",D568=0),"",C568/D568*E568)</f>
        <v/>
      </c>
      <c r="G568">
        <f>IF($A568="","",C568+F568)</f>
        <v/>
      </c>
      <c r="H568">
        <f>IF($A568="","",SUMIFS(Contributions!E:E,Contributions!C:C,$B568,Contributions!F:F,"Reinvest",Contributions!G:G,$A568))</f>
        <v/>
      </c>
      <c r="I568">
        <f>IF($A568="","",G568-H568)</f>
        <v/>
      </c>
    </row>
    <row r="569">
      <c r="C569">
        <f>IF($A569="","",SUMIFS(Contributions!E:E,Contributions!B:B,$A569,Contributions!C:C,$B569))</f>
        <v/>
      </c>
      <c r="D569">
        <f>IF($A569="","",SUMIFS(Contributions!E:E,Contributions!B:B,$A569))</f>
        <v/>
      </c>
      <c r="E569">
        <f>IF($A569="","",XLOOKUP($A569,Returns!A:A,Returns!E:E))</f>
        <v/>
      </c>
      <c r="F569">
        <f>IF(OR($A569="",D569=0),"",C569/D569*E569)</f>
        <v/>
      </c>
      <c r="G569">
        <f>IF($A569="","",C569+F569)</f>
        <v/>
      </c>
      <c r="H569">
        <f>IF($A569="","",SUMIFS(Contributions!E:E,Contributions!C:C,$B569,Contributions!F:F,"Reinvest",Contributions!G:G,$A569))</f>
        <v/>
      </c>
      <c r="I569">
        <f>IF($A569="","",G569-H569)</f>
        <v/>
      </c>
    </row>
    <row r="570">
      <c r="C570">
        <f>IF($A570="","",SUMIFS(Contributions!E:E,Contributions!B:B,$A570,Contributions!C:C,$B570))</f>
        <v/>
      </c>
      <c r="D570">
        <f>IF($A570="","",SUMIFS(Contributions!E:E,Contributions!B:B,$A570))</f>
        <v/>
      </c>
      <c r="E570">
        <f>IF($A570="","",XLOOKUP($A570,Returns!A:A,Returns!E:E))</f>
        <v/>
      </c>
      <c r="F570">
        <f>IF(OR($A570="",D570=0),"",C570/D570*E570)</f>
        <v/>
      </c>
      <c r="G570">
        <f>IF($A570="","",C570+F570)</f>
        <v/>
      </c>
      <c r="H570">
        <f>IF($A570="","",SUMIFS(Contributions!E:E,Contributions!C:C,$B570,Contributions!F:F,"Reinvest",Contributions!G:G,$A570))</f>
        <v/>
      </c>
      <c r="I570">
        <f>IF($A570="","",G570-H570)</f>
        <v/>
      </c>
    </row>
    <row r="571">
      <c r="C571">
        <f>IF($A571="","",SUMIFS(Contributions!E:E,Contributions!B:B,$A571,Contributions!C:C,$B571))</f>
        <v/>
      </c>
      <c r="D571">
        <f>IF($A571="","",SUMIFS(Contributions!E:E,Contributions!B:B,$A571))</f>
        <v/>
      </c>
      <c r="E571">
        <f>IF($A571="","",XLOOKUP($A571,Returns!A:A,Returns!E:E))</f>
        <v/>
      </c>
      <c r="F571">
        <f>IF(OR($A571="",D571=0),"",C571/D571*E571)</f>
        <v/>
      </c>
      <c r="G571">
        <f>IF($A571="","",C571+F571)</f>
        <v/>
      </c>
      <c r="H571">
        <f>IF($A571="","",SUMIFS(Contributions!E:E,Contributions!C:C,$B571,Contributions!F:F,"Reinvest",Contributions!G:G,$A571))</f>
        <v/>
      </c>
      <c r="I571">
        <f>IF($A571="","",G571-H571)</f>
        <v/>
      </c>
    </row>
    <row r="572">
      <c r="C572">
        <f>IF($A572="","",SUMIFS(Contributions!E:E,Contributions!B:B,$A572,Contributions!C:C,$B572))</f>
        <v/>
      </c>
      <c r="D572">
        <f>IF($A572="","",SUMIFS(Contributions!E:E,Contributions!B:B,$A572))</f>
        <v/>
      </c>
      <c r="E572">
        <f>IF($A572="","",XLOOKUP($A572,Returns!A:A,Returns!E:E))</f>
        <v/>
      </c>
      <c r="F572">
        <f>IF(OR($A572="",D572=0),"",C572/D572*E572)</f>
        <v/>
      </c>
      <c r="G572">
        <f>IF($A572="","",C572+F572)</f>
        <v/>
      </c>
      <c r="H572">
        <f>IF($A572="","",SUMIFS(Contributions!E:E,Contributions!C:C,$B572,Contributions!F:F,"Reinvest",Contributions!G:G,$A572))</f>
        <v/>
      </c>
      <c r="I572">
        <f>IF($A572="","",G572-H572)</f>
        <v/>
      </c>
    </row>
    <row r="573">
      <c r="C573">
        <f>IF($A573="","",SUMIFS(Contributions!E:E,Contributions!B:B,$A573,Contributions!C:C,$B573))</f>
        <v/>
      </c>
      <c r="D573">
        <f>IF($A573="","",SUMIFS(Contributions!E:E,Contributions!B:B,$A573))</f>
        <v/>
      </c>
      <c r="E573">
        <f>IF($A573="","",XLOOKUP($A573,Returns!A:A,Returns!E:E))</f>
        <v/>
      </c>
      <c r="F573">
        <f>IF(OR($A573="",D573=0),"",C573/D573*E573)</f>
        <v/>
      </c>
      <c r="G573">
        <f>IF($A573="","",C573+F573)</f>
        <v/>
      </c>
      <c r="H573">
        <f>IF($A573="","",SUMIFS(Contributions!E:E,Contributions!C:C,$B573,Contributions!F:F,"Reinvest",Contributions!G:G,$A573))</f>
        <v/>
      </c>
      <c r="I573">
        <f>IF($A573="","",G573-H573)</f>
        <v/>
      </c>
    </row>
    <row r="574">
      <c r="C574">
        <f>IF($A574="","",SUMIFS(Contributions!E:E,Contributions!B:B,$A574,Contributions!C:C,$B574))</f>
        <v/>
      </c>
      <c r="D574">
        <f>IF($A574="","",SUMIFS(Contributions!E:E,Contributions!B:B,$A574))</f>
        <v/>
      </c>
      <c r="E574">
        <f>IF($A574="","",XLOOKUP($A574,Returns!A:A,Returns!E:E))</f>
        <v/>
      </c>
      <c r="F574">
        <f>IF(OR($A574="",D574=0),"",C574/D574*E574)</f>
        <v/>
      </c>
      <c r="G574">
        <f>IF($A574="","",C574+F574)</f>
        <v/>
      </c>
      <c r="H574">
        <f>IF($A574="","",SUMIFS(Contributions!E:E,Contributions!C:C,$B574,Contributions!F:F,"Reinvest",Contributions!G:G,$A574))</f>
        <v/>
      </c>
      <c r="I574">
        <f>IF($A574="","",G574-H574)</f>
        <v/>
      </c>
    </row>
    <row r="575">
      <c r="C575">
        <f>IF($A575="","",SUMIFS(Contributions!E:E,Contributions!B:B,$A575,Contributions!C:C,$B575))</f>
        <v/>
      </c>
      <c r="D575">
        <f>IF($A575="","",SUMIFS(Contributions!E:E,Contributions!B:B,$A575))</f>
        <v/>
      </c>
      <c r="E575">
        <f>IF($A575="","",XLOOKUP($A575,Returns!A:A,Returns!E:E))</f>
        <v/>
      </c>
      <c r="F575">
        <f>IF(OR($A575="",D575=0),"",C575/D575*E575)</f>
        <v/>
      </c>
      <c r="G575">
        <f>IF($A575="","",C575+F575)</f>
        <v/>
      </c>
      <c r="H575">
        <f>IF($A575="","",SUMIFS(Contributions!E:E,Contributions!C:C,$B575,Contributions!F:F,"Reinvest",Contributions!G:G,$A575))</f>
        <v/>
      </c>
      <c r="I575">
        <f>IF($A575="","",G575-H575)</f>
        <v/>
      </c>
    </row>
    <row r="576">
      <c r="C576">
        <f>IF($A576="","",SUMIFS(Contributions!E:E,Contributions!B:B,$A576,Contributions!C:C,$B576))</f>
        <v/>
      </c>
      <c r="D576">
        <f>IF($A576="","",SUMIFS(Contributions!E:E,Contributions!B:B,$A576))</f>
        <v/>
      </c>
      <c r="E576">
        <f>IF($A576="","",XLOOKUP($A576,Returns!A:A,Returns!E:E))</f>
        <v/>
      </c>
      <c r="F576">
        <f>IF(OR($A576="",D576=0),"",C576/D576*E576)</f>
        <v/>
      </c>
      <c r="G576">
        <f>IF($A576="","",C576+F576)</f>
        <v/>
      </c>
      <c r="H576">
        <f>IF($A576="","",SUMIFS(Contributions!E:E,Contributions!C:C,$B576,Contributions!F:F,"Reinvest",Contributions!G:G,$A576))</f>
        <v/>
      </c>
      <c r="I576">
        <f>IF($A576="","",G576-H576)</f>
        <v/>
      </c>
    </row>
    <row r="577">
      <c r="C577">
        <f>IF($A577="","",SUMIFS(Contributions!E:E,Contributions!B:B,$A577,Contributions!C:C,$B577))</f>
        <v/>
      </c>
      <c r="D577">
        <f>IF($A577="","",SUMIFS(Contributions!E:E,Contributions!B:B,$A577))</f>
        <v/>
      </c>
      <c r="E577">
        <f>IF($A577="","",XLOOKUP($A577,Returns!A:A,Returns!E:E))</f>
        <v/>
      </c>
      <c r="F577">
        <f>IF(OR($A577="",D577=0),"",C577/D577*E577)</f>
        <v/>
      </c>
      <c r="G577">
        <f>IF($A577="","",C577+F577)</f>
        <v/>
      </c>
      <c r="H577">
        <f>IF($A577="","",SUMIFS(Contributions!E:E,Contributions!C:C,$B577,Contributions!F:F,"Reinvest",Contributions!G:G,$A577))</f>
        <v/>
      </c>
      <c r="I577">
        <f>IF($A577="","",G577-H577)</f>
        <v/>
      </c>
    </row>
    <row r="578">
      <c r="C578">
        <f>IF($A578="","",SUMIFS(Contributions!E:E,Contributions!B:B,$A578,Contributions!C:C,$B578))</f>
        <v/>
      </c>
      <c r="D578">
        <f>IF($A578="","",SUMIFS(Contributions!E:E,Contributions!B:B,$A578))</f>
        <v/>
      </c>
      <c r="E578">
        <f>IF($A578="","",XLOOKUP($A578,Returns!A:A,Returns!E:E))</f>
        <v/>
      </c>
      <c r="F578">
        <f>IF(OR($A578="",D578=0),"",C578/D578*E578)</f>
        <v/>
      </c>
      <c r="G578">
        <f>IF($A578="","",C578+F578)</f>
        <v/>
      </c>
      <c r="H578">
        <f>IF($A578="","",SUMIFS(Contributions!E:E,Contributions!C:C,$B578,Contributions!F:F,"Reinvest",Contributions!G:G,$A578))</f>
        <v/>
      </c>
      <c r="I578">
        <f>IF($A578="","",G578-H578)</f>
        <v/>
      </c>
    </row>
    <row r="579">
      <c r="C579">
        <f>IF($A579="","",SUMIFS(Contributions!E:E,Contributions!B:B,$A579,Contributions!C:C,$B579))</f>
        <v/>
      </c>
      <c r="D579">
        <f>IF($A579="","",SUMIFS(Contributions!E:E,Contributions!B:B,$A579))</f>
        <v/>
      </c>
      <c r="E579">
        <f>IF($A579="","",XLOOKUP($A579,Returns!A:A,Returns!E:E))</f>
        <v/>
      </c>
      <c r="F579">
        <f>IF(OR($A579="",D579=0),"",C579/D579*E579)</f>
        <v/>
      </c>
      <c r="G579">
        <f>IF($A579="","",C579+F579)</f>
        <v/>
      </c>
      <c r="H579">
        <f>IF($A579="","",SUMIFS(Contributions!E:E,Contributions!C:C,$B579,Contributions!F:F,"Reinvest",Contributions!G:G,$A579))</f>
        <v/>
      </c>
      <c r="I579">
        <f>IF($A579="","",G579-H579)</f>
        <v/>
      </c>
    </row>
    <row r="580">
      <c r="C580">
        <f>IF($A580="","",SUMIFS(Contributions!E:E,Contributions!B:B,$A580,Contributions!C:C,$B580))</f>
        <v/>
      </c>
      <c r="D580">
        <f>IF($A580="","",SUMIFS(Contributions!E:E,Contributions!B:B,$A580))</f>
        <v/>
      </c>
      <c r="E580">
        <f>IF($A580="","",XLOOKUP($A580,Returns!A:A,Returns!E:E))</f>
        <v/>
      </c>
      <c r="F580">
        <f>IF(OR($A580="",D580=0),"",C580/D580*E580)</f>
        <v/>
      </c>
      <c r="G580">
        <f>IF($A580="","",C580+F580)</f>
        <v/>
      </c>
      <c r="H580">
        <f>IF($A580="","",SUMIFS(Contributions!E:E,Contributions!C:C,$B580,Contributions!F:F,"Reinvest",Contributions!G:G,$A580))</f>
        <v/>
      </c>
      <c r="I580">
        <f>IF($A580="","",G580-H580)</f>
        <v/>
      </c>
    </row>
    <row r="581">
      <c r="C581">
        <f>IF($A581="","",SUMIFS(Contributions!E:E,Contributions!B:B,$A581,Contributions!C:C,$B581))</f>
        <v/>
      </c>
      <c r="D581">
        <f>IF($A581="","",SUMIFS(Contributions!E:E,Contributions!B:B,$A581))</f>
        <v/>
      </c>
      <c r="E581">
        <f>IF($A581="","",XLOOKUP($A581,Returns!A:A,Returns!E:E))</f>
        <v/>
      </c>
      <c r="F581">
        <f>IF(OR($A581="",D581=0),"",C581/D581*E581)</f>
        <v/>
      </c>
      <c r="G581">
        <f>IF($A581="","",C581+F581)</f>
        <v/>
      </c>
      <c r="H581">
        <f>IF($A581="","",SUMIFS(Contributions!E:E,Contributions!C:C,$B581,Contributions!F:F,"Reinvest",Contributions!G:G,$A581))</f>
        <v/>
      </c>
      <c r="I581">
        <f>IF($A581="","",G581-H581)</f>
        <v/>
      </c>
    </row>
    <row r="582">
      <c r="C582">
        <f>IF($A582="","",SUMIFS(Contributions!E:E,Contributions!B:B,$A582,Contributions!C:C,$B582))</f>
        <v/>
      </c>
      <c r="D582">
        <f>IF($A582="","",SUMIFS(Contributions!E:E,Contributions!B:B,$A582))</f>
        <v/>
      </c>
      <c r="E582">
        <f>IF($A582="","",XLOOKUP($A582,Returns!A:A,Returns!E:E))</f>
        <v/>
      </c>
      <c r="F582">
        <f>IF(OR($A582="",D582=0),"",C582/D582*E582)</f>
        <v/>
      </c>
      <c r="G582">
        <f>IF($A582="","",C582+F582)</f>
        <v/>
      </c>
      <c r="H582">
        <f>IF($A582="","",SUMIFS(Contributions!E:E,Contributions!C:C,$B582,Contributions!F:F,"Reinvest",Contributions!G:G,$A582))</f>
        <v/>
      </c>
      <c r="I582">
        <f>IF($A582="","",G582-H582)</f>
        <v/>
      </c>
    </row>
    <row r="583">
      <c r="C583">
        <f>IF($A583="","",SUMIFS(Contributions!E:E,Contributions!B:B,$A583,Contributions!C:C,$B583))</f>
        <v/>
      </c>
      <c r="D583">
        <f>IF($A583="","",SUMIFS(Contributions!E:E,Contributions!B:B,$A583))</f>
        <v/>
      </c>
      <c r="E583">
        <f>IF($A583="","",XLOOKUP($A583,Returns!A:A,Returns!E:E))</f>
        <v/>
      </c>
      <c r="F583">
        <f>IF(OR($A583="",D583=0),"",C583/D583*E583)</f>
        <v/>
      </c>
      <c r="G583">
        <f>IF($A583="","",C583+F583)</f>
        <v/>
      </c>
      <c r="H583">
        <f>IF($A583="","",SUMIFS(Contributions!E:E,Contributions!C:C,$B583,Contributions!F:F,"Reinvest",Contributions!G:G,$A583))</f>
        <v/>
      </c>
      <c r="I583">
        <f>IF($A583="","",G583-H583)</f>
        <v/>
      </c>
    </row>
    <row r="584">
      <c r="C584">
        <f>IF($A584="","",SUMIFS(Contributions!E:E,Contributions!B:B,$A584,Contributions!C:C,$B584))</f>
        <v/>
      </c>
      <c r="D584">
        <f>IF($A584="","",SUMIFS(Contributions!E:E,Contributions!B:B,$A584))</f>
        <v/>
      </c>
      <c r="E584">
        <f>IF($A584="","",XLOOKUP($A584,Returns!A:A,Returns!E:E))</f>
        <v/>
      </c>
      <c r="F584">
        <f>IF(OR($A584="",D584=0),"",C584/D584*E584)</f>
        <v/>
      </c>
      <c r="G584">
        <f>IF($A584="","",C584+F584)</f>
        <v/>
      </c>
      <c r="H584">
        <f>IF($A584="","",SUMIFS(Contributions!E:E,Contributions!C:C,$B584,Contributions!F:F,"Reinvest",Contributions!G:G,$A584))</f>
        <v/>
      </c>
      <c r="I584">
        <f>IF($A584="","",G584-H584)</f>
        <v/>
      </c>
    </row>
    <row r="585">
      <c r="C585">
        <f>IF($A585="","",SUMIFS(Contributions!E:E,Contributions!B:B,$A585,Contributions!C:C,$B585))</f>
        <v/>
      </c>
      <c r="D585">
        <f>IF($A585="","",SUMIFS(Contributions!E:E,Contributions!B:B,$A585))</f>
        <v/>
      </c>
      <c r="E585">
        <f>IF($A585="","",XLOOKUP($A585,Returns!A:A,Returns!E:E))</f>
        <v/>
      </c>
      <c r="F585">
        <f>IF(OR($A585="",D585=0),"",C585/D585*E585)</f>
        <v/>
      </c>
      <c r="G585">
        <f>IF($A585="","",C585+F585)</f>
        <v/>
      </c>
      <c r="H585">
        <f>IF($A585="","",SUMIFS(Contributions!E:E,Contributions!C:C,$B585,Contributions!F:F,"Reinvest",Contributions!G:G,$A585))</f>
        <v/>
      </c>
      <c r="I585">
        <f>IF($A585="","",G585-H585)</f>
        <v/>
      </c>
    </row>
    <row r="586">
      <c r="C586">
        <f>IF($A586="","",SUMIFS(Contributions!E:E,Contributions!B:B,$A586,Contributions!C:C,$B586))</f>
        <v/>
      </c>
      <c r="D586">
        <f>IF($A586="","",SUMIFS(Contributions!E:E,Contributions!B:B,$A586))</f>
        <v/>
      </c>
      <c r="E586">
        <f>IF($A586="","",XLOOKUP($A586,Returns!A:A,Returns!E:E))</f>
        <v/>
      </c>
      <c r="F586">
        <f>IF(OR($A586="",D586=0),"",C586/D586*E586)</f>
        <v/>
      </c>
      <c r="G586">
        <f>IF($A586="","",C586+F586)</f>
        <v/>
      </c>
      <c r="H586">
        <f>IF($A586="","",SUMIFS(Contributions!E:E,Contributions!C:C,$B586,Contributions!F:F,"Reinvest",Contributions!G:G,$A586))</f>
        <v/>
      </c>
      <c r="I586">
        <f>IF($A586="","",G586-H586)</f>
        <v/>
      </c>
    </row>
    <row r="587">
      <c r="C587">
        <f>IF($A587="","",SUMIFS(Contributions!E:E,Contributions!B:B,$A587,Contributions!C:C,$B587))</f>
        <v/>
      </c>
      <c r="D587">
        <f>IF($A587="","",SUMIFS(Contributions!E:E,Contributions!B:B,$A587))</f>
        <v/>
      </c>
      <c r="E587">
        <f>IF($A587="","",XLOOKUP($A587,Returns!A:A,Returns!E:E))</f>
        <v/>
      </c>
      <c r="F587">
        <f>IF(OR($A587="",D587=0),"",C587/D587*E587)</f>
        <v/>
      </c>
      <c r="G587">
        <f>IF($A587="","",C587+F587)</f>
        <v/>
      </c>
      <c r="H587">
        <f>IF($A587="","",SUMIFS(Contributions!E:E,Contributions!C:C,$B587,Contributions!F:F,"Reinvest",Contributions!G:G,$A587))</f>
        <v/>
      </c>
      <c r="I587">
        <f>IF($A587="","",G587-H587)</f>
        <v/>
      </c>
    </row>
    <row r="588">
      <c r="C588">
        <f>IF($A588="","",SUMIFS(Contributions!E:E,Contributions!B:B,$A588,Contributions!C:C,$B588))</f>
        <v/>
      </c>
      <c r="D588">
        <f>IF($A588="","",SUMIFS(Contributions!E:E,Contributions!B:B,$A588))</f>
        <v/>
      </c>
      <c r="E588">
        <f>IF($A588="","",XLOOKUP($A588,Returns!A:A,Returns!E:E))</f>
        <v/>
      </c>
      <c r="F588">
        <f>IF(OR($A588="",D588=0),"",C588/D588*E588)</f>
        <v/>
      </c>
      <c r="G588">
        <f>IF($A588="","",C588+F588)</f>
        <v/>
      </c>
      <c r="H588">
        <f>IF($A588="","",SUMIFS(Contributions!E:E,Contributions!C:C,$B588,Contributions!F:F,"Reinvest",Contributions!G:G,$A588))</f>
        <v/>
      </c>
      <c r="I588">
        <f>IF($A588="","",G588-H588)</f>
        <v/>
      </c>
    </row>
    <row r="589">
      <c r="C589">
        <f>IF($A589="","",SUMIFS(Contributions!E:E,Contributions!B:B,$A589,Contributions!C:C,$B589))</f>
        <v/>
      </c>
      <c r="D589">
        <f>IF($A589="","",SUMIFS(Contributions!E:E,Contributions!B:B,$A589))</f>
        <v/>
      </c>
      <c r="E589">
        <f>IF($A589="","",XLOOKUP($A589,Returns!A:A,Returns!E:E))</f>
        <v/>
      </c>
      <c r="F589">
        <f>IF(OR($A589="",D589=0),"",C589/D589*E589)</f>
        <v/>
      </c>
      <c r="G589">
        <f>IF($A589="","",C589+F589)</f>
        <v/>
      </c>
      <c r="H589">
        <f>IF($A589="","",SUMIFS(Contributions!E:E,Contributions!C:C,$B589,Contributions!F:F,"Reinvest",Contributions!G:G,$A589))</f>
        <v/>
      </c>
      <c r="I589">
        <f>IF($A589="","",G589-H589)</f>
        <v/>
      </c>
    </row>
    <row r="590">
      <c r="C590">
        <f>IF($A590="","",SUMIFS(Contributions!E:E,Contributions!B:B,$A590,Contributions!C:C,$B590))</f>
        <v/>
      </c>
      <c r="D590">
        <f>IF($A590="","",SUMIFS(Contributions!E:E,Contributions!B:B,$A590))</f>
        <v/>
      </c>
      <c r="E590">
        <f>IF($A590="","",XLOOKUP($A590,Returns!A:A,Returns!E:E))</f>
        <v/>
      </c>
      <c r="F590">
        <f>IF(OR($A590="",D590=0),"",C590/D590*E590)</f>
        <v/>
      </c>
      <c r="G590">
        <f>IF($A590="","",C590+F590)</f>
        <v/>
      </c>
      <c r="H590">
        <f>IF($A590="","",SUMIFS(Contributions!E:E,Contributions!C:C,$B590,Contributions!F:F,"Reinvest",Contributions!G:G,$A590))</f>
        <v/>
      </c>
      <c r="I590">
        <f>IF($A590="","",G590-H590)</f>
        <v/>
      </c>
    </row>
    <row r="591">
      <c r="C591">
        <f>IF($A591="","",SUMIFS(Contributions!E:E,Contributions!B:B,$A591,Contributions!C:C,$B591))</f>
        <v/>
      </c>
      <c r="D591">
        <f>IF($A591="","",SUMIFS(Contributions!E:E,Contributions!B:B,$A591))</f>
        <v/>
      </c>
      <c r="E591">
        <f>IF($A591="","",XLOOKUP($A591,Returns!A:A,Returns!E:E))</f>
        <v/>
      </c>
      <c r="F591">
        <f>IF(OR($A591="",D591=0),"",C591/D591*E591)</f>
        <v/>
      </c>
      <c r="G591">
        <f>IF($A591="","",C591+F591)</f>
        <v/>
      </c>
      <c r="H591">
        <f>IF($A591="","",SUMIFS(Contributions!E:E,Contributions!C:C,$B591,Contributions!F:F,"Reinvest",Contributions!G:G,$A591))</f>
        <v/>
      </c>
      <c r="I591">
        <f>IF($A591="","",G591-H591)</f>
        <v/>
      </c>
    </row>
    <row r="592">
      <c r="C592">
        <f>IF($A592="","",SUMIFS(Contributions!E:E,Contributions!B:B,$A592,Contributions!C:C,$B592))</f>
        <v/>
      </c>
      <c r="D592">
        <f>IF($A592="","",SUMIFS(Contributions!E:E,Contributions!B:B,$A592))</f>
        <v/>
      </c>
      <c r="E592">
        <f>IF($A592="","",XLOOKUP($A592,Returns!A:A,Returns!E:E))</f>
        <v/>
      </c>
      <c r="F592">
        <f>IF(OR($A592="",D592=0),"",C592/D592*E592)</f>
        <v/>
      </c>
      <c r="G592">
        <f>IF($A592="","",C592+F592)</f>
        <v/>
      </c>
      <c r="H592">
        <f>IF($A592="","",SUMIFS(Contributions!E:E,Contributions!C:C,$B592,Contributions!F:F,"Reinvest",Contributions!G:G,$A592))</f>
        <v/>
      </c>
      <c r="I592">
        <f>IF($A592="","",G592-H592)</f>
        <v/>
      </c>
    </row>
    <row r="593">
      <c r="C593">
        <f>IF($A593="","",SUMIFS(Contributions!E:E,Contributions!B:B,$A593,Contributions!C:C,$B593))</f>
        <v/>
      </c>
      <c r="D593">
        <f>IF($A593="","",SUMIFS(Contributions!E:E,Contributions!B:B,$A593))</f>
        <v/>
      </c>
      <c r="E593">
        <f>IF($A593="","",XLOOKUP($A593,Returns!A:A,Returns!E:E))</f>
        <v/>
      </c>
      <c r="F593">
        <f>IF(OR($A593="",D593=0),"",C593/D593*E593)</f>
        <v/>
      </c>
      <c r="G593">
        <f>IF($A593="","",C593+F593)</f>
        <v/>
      </c>
      <c r="H593">
        <f>IF($A593="","",SUMIFS(Contributions!E:E,Contributions!C:C,$B593,Contributions!F:F,"Reinvest",Contributions!G:G,$A593))</f>
        <v/>
      </c>
      <c r="I593">
        <f>IF($A593="","",G593-H593)</f>
        <v/>
      </c>
    </row>
    <row r="594">
      <c r="C594">
        <f>IF($A594="","",SUMIFS(Contributions!E:E,Contributions!B:B,$A594,Contributions!C:C,$B594))</f>
        <v/>
      </c>
      <c r="D594">
        <f>IF($A594="","",SUMIFS(Contributions!E:E,Contributions!B:B,$A594))</f>
        <v/>
      </c>
      <c r="E594">
        <f>IF($A594="","",XLOOKUP($A594,Returns!A:A,Returns!E:E))</f>
        <v/>
      </c>
      <c r="F594">
        <f>IF(OR($A594="",D594=0),"",C594/D594*E594)</f>
        <v/>
      </c>
      <c r="G594">
        <f>IF($A594="","",C594+F594)</f>
        <v/>
      </c>
      <c r="H594">
        <f>IF($A594="","",SUMIFS(Contributions!E:E,Contributions!C:C,$B594,Contributions!F:F,"Reinvest",Contributions!G:G,$A594))</f>
        <v/>
      </c>
      <c r="I594">
        <f>IF($A594="","",G594-H594)</f>
        <v/>
      </c>
    </row>
    <row r="595">
      <c r="C595">
        <f>IF($A595="","",SUMIFS(Contributions!E:E,Contributions!B:B,$A595,Contributions!C:C,$B595))</f>
        <v/>
      </c>
      <c r="D595">
        <f>IF($A595="","",SUMIFS(Contributions!E:E,Contributions!B:B,$A595))</f>
        <v/>
      </c>
      <c r="E595">
        <f>IF($A595="","",XLOOKUP($A595,Returns!A:A,Returns!E:E))</f>
        <v/>
      </c>
      <c r="F595">
        <f>IF(OR($A595="",D595=0),"",C595/D595*E595)</f>
        <v/>
      </c>
      <c r="G595">
        <f>IF($A595="","",C595+F595)</f>
        <v/>
      </c>
      <c r="H595">
        <f>IF($A595="","",SUMIFS(Contributions!E:E,Contributions!C:C,$B595,Contributions!F:F,"Reinvest",Contributions!G:G,$A595))</f>
        <v/>
      </c>
      <c r="I595">
        <f>IF($A595="","",G595-H595)</f>
        <v/>
      </c>
    </row>
    <row r="596">
      <c r="C596">
        <f>IF($A596="","",SUMIFS(Contributions!E:E,Contributions!B:B,$A596,Contributions!C:C,$B596))</f>
        <v/>
      </c>
      <c r="D596">
        <f>IF($A596="","",SUMIFS(Contributions!E:E,Contributions!B:B,$A596))</f>
        <v/>
      </c>
      <c r="E596">
        <f>IF($A596="","",XLOOKUP($A596,Returns!A:A,Returns!E:E))</f>
        <v/>
      </c>
      <c r="F596">
        <f>IF(OR($A596="",D596=0),"",C596/D596*E596)</f>
        <v/>
      </c>
      <c r="G596">
        <f>IF($A596="","",C596+F596)</f>
        <v/>
      </c>
      <c r="H596">
        <f>IF($A596="","",SUMIFS(Contributions!E:E,Contributions!C:C,$B596,Contributions!F:F,"Reinvest",Contributions!G:G,$A596))</f>
        <v/>
      </c>
      <c r="I596">
        <f>IF($A596="","",G596-H596)</f>
        <v/>
      </c>
    </row>
    <row r="597">
      <c r="C597">
        <f>IF($A597="","",SUMIFS(Contributions!E:E,Contributions!B:B,$A597,Contributions!C:C,$B597))</f>
        <v/>
      </c>
      <c r="D597">
        <f>IF($A597="","",SUMIFS(Contributions!E:E,Contributions!B:B,$A597))</f>
        <v/>
      </c>
      <c r="E597">
        <f>IF($A597="","",XLOOKUP($A597,Returns!A:A,Returns!E:E))</f>
        <v/>
      </c>
      <c r="F597">
        <f>IF(OR($A597="",D597=0),"",C597/D597*E597)</f>
        <v/>
      </c>
      <c r="G597">
        <f>IF($A597="","",C597+F597)</f>
        <v/>
      </c>
      <c r="H597">
        <f>IF($A597="","",SUMIFS(Contributions!E:E,Contributions!C:C,$B597,Contributions!F:F,"Reinvest",Contributions!G:G,$A597))</f>
        <v/>
      </c>
      <c r="I597">
        <f>IF($A597="","",G597-H597)</f>
        <v/>
      </c>
    </row>
    <row r="598">
      <c r="C598">
        <f>IF($A598="","",SUMIFS(Contributions!E:E,Contributions!B:B,$A598,Contributions!C:C,$B598))</f>
        <v/>
      </c>
      <c r="D598">
        <f>IF($A598="","",SUMIFS(Contributions!E:E,Contributions!B:B,$A598))</f>
        <v/>
      </c>
      <c r="E598">
        <f>IF($A598="","",XLOOKUP($A598,Returns!A:A,Returns!E:E))</f>
        <v/>
      </c>
      <c r="F598">
        <f>IF(OR($A598="",D598=0),"",C598/D598*E598)</f>
        <v/>
      </c>
      <c r="G598">
        <f>IF($A598="","",C598+F598)</f>
        <v/>
      </c>
      <c r="H598">
        <f>IF($A598="","",SUMIFS(Contributions!E:E,Contributions!C:C,$B598,Contributions!F:F,"Reinvest",Contributions!G:G,$A598))</f>
        <v/>
      </c>
      <c r="I598">
        <f>IF($A598="","",G598-H598)</f>
        <v/>
      </c>
    </row>
    <row r="599">
      <c r="C599">
        <f>IF($A599="","",SUMIFS(Contributions!E:E,Contributions!B:B,$A599,Contributions!C:C,$B599))</f>
        <v/>
      </c>
      <c r="D599">
        <f>IF($A599="","",SUMIFS(Contributions!E:E,Contributions!B:B,$A599))</f>
        <v/>
      </c>
      <c r="E599">
        <f>IF($A599="","",XLOOKUP($A599,Returns!A:A,Returns!E:E))</f>
        <v/>
      </c>
      <c r="F599">
        <f>IF(OR($A599="",D599=0),"",C599/D599*E599)</f>
        <v/>
      </c>
      <c r="G599">
        <f>IF($A599="","",C599+F599)</f>
        <v/>
      </c>
      <c r="H599">
        <f>IF($A599="","",SUMIFS(Contributions!E:E,Contributions!C:C,$B599,Contributions!F:F,"Reinvest",Contributions!G:G,$A599))</f>
        <v/>
      </c>
      <c r="I599">
        <f>IF($A599="","",G599-H599)</f>
        <v/>
      </c>
    </row>
    <row r="600">
      <c r="C600">
        <f>IF($A600="","",SUMIFS(Contributions!E:E,Contributions!B:B,$A600,Contributions!C:C,$B600))</f>
        <v/>
      </c>
      <c r="D600">
        <f>IF($A600="","",SUMIFS(Contributions!E:E,Contributions!B:B,$A600))</f>
        <v/>
      </c>
      <c r="E600">
        <f>IF($A600="","",XLOOKUP($A600,Returns!A:A,Returns!E:E))</f>
        <v/>
      </c>
      <c r="F600">
        <f>IF(OR($A600="",D600=0),"",C600/D600*E600)</f>
        <v/>
      </c>
      <c r="G600">
        <f>IF($A600="","",C600+F600)</f>
        <v/>
      </c>
      <c r="H600">
        <f>IF($A600="","",SUMIFS(Contributions!E:E,Contributions!C:C,$B600,Contributions!F:F,"Reinvest",Contributions!G:G,$A600))</f>
        <v/>
      </c>
      <c r="I600">
        <f>IF($A600="","",G600-H600)</f>
        <v/>
      </c>
    </row>
    <row r="601">
      <c r="C601">
        <f>IF($A601="","",SUMIFS(Contributions!E:E,Contributions!B:B,$A601,Contributions!C:C,$B601))</f>
        <v/>
      </c>
      <c r="D601">
        <f>IF($A601="","",SUMIFS(Contributions!E:E,Contributions!B:B,$A601))</f>
        <v/>
      </c>
      <c r="E601">
        <f>IF($A601="","",XLOOKUP($A601,Returns!A:A,Returns!E:E))</f>
        <v/>
      </c>
      <c r="F601">
        <f>IF(OR($A601="",D601=0),"",C601/D601*E601)</f>
        <v/>
      </c>
      <c r="G601">
        <f>IF($A601="","",C601+F601)</f>
        <v/>
      </c>
      <c r="H601">
        <f>IF($A601="","",SUMIFS(Contributions!E:E,Contributions!C:C,$B601,Contributions!F:F,"Reinvest",Contributions!G:G,$A601))</f>
        <v/>
      </c>
      <c r="I601">
        <f>IF($A601="","",G601-H601)</f>
        <v/>
      </c>
    </row>
    <row r="602">
      <c r="C602">
        <f>IF($A602="","",SUMIFS(Contributions!E:E,Contributions!B:B,$A602,Contributions!C:C,$B602))</f>
        <v/>
      </c>
      <c r="D602">
        <f>IF($A602="","",SUMIFS(Contributions!E:E,Contributions!B:B,$A602))</f>
        <v/>
      </c>
      <c r="E602">
        <f>IF($A602="","",XLOOKUP($A602,Returns!A:A,Returns!E:E))</f>
        <v/>
      </c>
      <c r="F602">
        <f>IF(OR($A602="",D602=0),"",C602/D602*E602)</f>
        <v/>
      </c>
      <c r="G602">
        <f>IF($A602="","",C602+F602)</f>
        <v/>
      </c>
      <c r="H602">
        <f>IF($A602="","",SUMIFS(Contributions!E:E,Contributions!C:C,$B602,Contributions!F:F,"Reinvest",Contributions!G:G,$A602))</f>
        <v/>
      </c>
      <c r="I602">
        <f>IF($A602="","",G602-H602)</f>
        <v/>
      </c>
    </row>
    <row r="603">
      <c r="C603">
        <f>IF($A603="","",SUMIFS(Contributions!E:E,Contributions!B:B,$A603,Contributions!C:C,$B603))</f>
        <v/>
      </c>
      <c r="D603">
        <f>IF($A603="","",SUMIFS(Contributions!E:E,Contributions!B:B,$A603))</f>
        <v/>
      </c>
      <c r="E603">
        <f>IF($A603="","",XLOOKUP($A603,Returns!A:A,Returns!E:E))</f>
        <v/>
      </c>
      <c r="F603">
        <f>IF(OR($A603="",D603=0),"",C603/D603*E603)</f>
        <v/>
      </c>
      <c r="G603">
        <f>IF($A603="","",C603+F603)</f>
        <v/>
      </c>
      <c r="H603">
        <f>IF($A603="","",SUMIFS(Contributions!E:E,Contributions!C:C,$B603,Contributions!F:F,"Reinvest",Contributions!G:G,$A603))</f>
        <v/>
      </c>
      <c r="I603">
        <f>IF($A603="","",G603-H603)</f>
        <v/>
      </c>
    </row>
    <row r="604">
      <c r="C604">
        <f>IF($A604="","",SUMIFS(Contributions!E:E,Contributions!B:B,$A604,Contributions!C:C,$B604))</f>
        <v/>
      </c>
      <c r="D604">
        <f>IF($A604="","",SUMIFS(Contributions!E:E,Contributions!B:B,$A604))</f>
        <v/>
      </c>
      <c r="E604">
        <f>IF($A604="","",XLOOKUP($A604,Returns!A:A,Returns!E:E))</f>
        <v/>
      </c>
      <c r="F604">
        <f>IF(OR($A604="",D604=0),"",C604/D604*E604)</f>
        <v/>
      </c>
      <c r="G604">
        <f>IF($A604="","",C604+F604)</f>
        <v/>
      </c>
      <c r="H604">
        <f>IF($A604="","",SUMIFS(Contributions!E:E,Contributions!C:C,$B604,Contributions!F:F,"Reinvest",Contributions!G:G,$A604))</f>
        <v/>
      </c>
      <c r="I604">
        <f>IF($A604="","",G604-H604)</f>
        <v/>
      </c>
    </row>
    <row r="605">
      <c r="C605">
        <f>IF($A605="","",SUMIFS(Contributions!E:E,Contributions!B:B,$A605,Contributions!C:C,$B605))</f>
        <v/>
      </c>
      <c r="D605">
        <f>IF($A605="","",SUMIFS(Contributions!E:E,Contributions!B:B,$A605))</f>
        <v/>
      </c>
      <c r="E605">
        <f>IF($A605="","",XLOOKUP($A605,Returns!A:A,Returns!E:E))</f>
        <v/>
      </c>
      <c r="F605">
        <f>IF(OR($A605="",D605=0),"",C605/D605*E605)</f>
        <v/>
      </c>
      <c r="G605">
        <f>IF($A605="","",C605+F605)</f>
        <v/>
      </c>
      <c r="H605">
        <f>IF($A605="","",SUMIFS(Contributions!E:E,Contributions!C:C,$B605,Contributions!F:F,"Reinvest",Contributions!G:G,$A605))</f>
        <v/>
      </c>
      <c r="I605">
        <f>IF($A605="","",G605-H605)</f>
        <v/>
      </c>
    </row>
    <row r="606">
      <c r="C606">
        <f>IF($A606="","",SUMIFS(Contributions!E:E,Contributions!B:B,$A606,Contributions!C:C,$B606))</f>
        <v/>
      </c>
      <c r="D606">
        <f>IF($A606="","",SUMIFS(Contributions!E:E,Contributions!B:B,$A606))</f>
        <v/>
      </c>
      <c r="E606">
        <f>IF($A606="","",XLOOKUP($A606,Returns!A:A,Returns!E:E))</f>
        <v/>
      </c>
      <c r="F606">
        <f>IF(OR($A606="",D606=0),"",C606/D606*E606)</f>
        <v/>
      </c>
      <c r="G606">
        <f>IF($A606="","",C606+F606)</f>
        <v/>
      </c>
      <c r="H606">
        <f>IF($A606="","",SUMIFS(Contributions!E:E,Contributions!C:C,$B606,Contributions!F:F,"Reinvest",Contributions!G:G,$A606))</f>
        <v/>
      </c>
      <c r="I606">
        <f>IF($A606="","",G606-H606)</f>
        <v/>
      </c>
    </row>
    <row r="607">
      <c r="C607">
        <f>IF($A607="","",SUMIFS(Contributions!E:E,Contributions!B:B,$A607,Contributions!C:C,$B607))</f>
        <v/>
      </c>
      <c r="D607">
        <f>IF($A607="","",SUMIFS(Contributions!E:E,Contributions!B:B,$A607))</f>
        <v/>
      </c>
      <c r="E607">
        <f>IF($A607="","",XLOOKUP($A607,Returns!A:A,Returns!E:E))</f>
        <v/>
      </c>
      <c r="F607">
        <f>IF(OR($A607="",D607=0),"",C607/D607*E607)</f>
        <v/>
      </c>
      <c r="G607">
        <f>IF($A607="","",C607+F607)</f>
        <v/>
      </c>
      <c r="H607">
        <f>IF($A607="","",SUMIFS(Contributions!E:E,Contributions!C:C,$B607,Contributions!F:F,"Reinvest",Contributions!G:G,$A607))</f>
        <v/>
      </c>
      <c r="I607">
        <f>IF($A607="","",G607-H607)</f>
        <v/>
      </c>
    </row>
    <row r="608">
      <c r="C608">
        <f>IF($A608="","",SUMIFS(Contributions!E:E,Contributions!B:B,$A608,Contributions!C:C,$B608))</f>
        <v/>
      </c>
      <c r="D608">
        <f>IF($A608="","",SUMIFS(Contributions!E:E,Contributions!B:B,$A608))</f>
        <v/>
      </c>
      <c r="E608">
        <f>IF($A608="","",XLOOKUP($A608,Returns!A:A,Returns!E:E))</f>
        <v/>
      </c>
      <c r="F608">
        <f>IF(OR($A608="",D608=0),"",C608/D608*E608)</f>
        <v/>
      </c>
      <c r="G608">
        <f>IF($A608="","",C608+F608)</f>
        <v/>
      </c>
      <c r="H608">
        <f>IF($A608="","",SUMIFS(Contributions!E:E,Contributions!C:C,$B608,Contributions!F:F,"Reinvest",Contributions!G:G,$A608))</f>
        <v/>
      </c>
      <c r="I608">
        <f>IF($A608="","",G608-H608)</f>
        <v/>
      </c>
    </row>
    <row r="609">
      <c r="C609">
        <f>IF($A609="","",SUMIFS(Contributions!E:E,Contributions!B:B,$A609,Contributions!C:C,$B609))</f>
        <v/>
      </c>
      <c r="D609">
        <f>IF($A609="","",SUMIFS(Contributions!E:E,Contributions!B:B,$A609))</f>
        <v/>
      </c>
      <c r="E609">
        <f>IF($A609="","",XLOOKUP($A609,Returns!A:A,Returns!E:E))</f>
        <v/>
      </c>
      <c r="F609">
        <f>IF(OR($A609="",D609=0),"",C609/D609*E609)</f>
        <v/>
      </c>
      <c r="G609">
        <f>IF($A609="","",C609+F609)</f>
        <v/>
      </c>
      <c r="H609">
        <f>IF($A609="","",SUMIFS(Contributions!E:E,Contributions!C:C,$B609,Contributions!F:F,"Reinvest",Contributions!G:G,$A609))</f>
        <v/>
      </c>
      <c r="I609">
        <f>IF($A609="","",G609-H609)</f>
        <v/>
      </c>
    </row>
    <row r="610">
      <c r="C610">
        <f>IF($A610="","",SUMIFS(Contributions!E:E,Contributions!B:B,$A610,Contributions!C:C,$B610))</f>
        <v/>
      </c>
      <c r="D610">
        <f>IF($A610="","",SUMIFS(Contributions!E:E,Contributions!B:B,$A610))</f>
        <v/>
      </c>
      <c r="E610">
        <f>IF($A610="","",XLOOKUP($A610,Returns!A:A,Returns!E:E))</f>
        <v/>
      </c>
      <c r="F610">
        <f>IF(OR($A610="",D610=0),"",C610/D610*E610)</f>
        <v/>
      </c>
      <c r="G610">
        <f>IF($A610="","",C610+F610)</f>
        <v/>
      </c>
      <c r="H610">
        <f>IF($A610="","",SUMIFS(Contributions!E:E,Contributions!C:C,$B610,Contributions!F:F,"Reinvest",Contributions!G:G,$A610))</f>
        <v/>
      </c>
      <c r="I610">
        <f>IF($A610="","",G610-H610)</f>
        <v/>
      </c>
    </row>
    <row r="611">
      <c r="C611">
        <f>IF($A611="","",SUMIFS(Contributions!E:E,Contributions!B:B,$A611,Contributions!C:C,$B611))</f>
        <v/>
      </c>
      <c r="D611">
        <f>IF($A611="","",SUMIFS(Contributions!E:E,Contributions!B:B,$A611))</f>
        <v/>
      </c>
      <c r="E611">
        <f>IF($A611="","",XLOOKUP($A611,Returns!A:A,Returns!E:E))</f>
        <v/>
      </c>
      <c r="F611">
        <f>IF(OR($A611="",D611=0),"",C611/D611*E611)</f>
        <v/>
      </c>
      <c r="G611">
        <f>IF($A611="","",C611+F611)</f>
        <v/>
      </c>
      <c r="H611">
        <f>IF($A611="","",SUMIFS(Contributions!E:E,Contributions!C:C,$B611,Contributions!F:F,"Reinvest",Contributions!G:G,$A611))</f>
        <v/>
      </c>
      <c r="I611">
        <f>IF($A611="","",G611-H611)</f>
        <v/>
      </c>
    </row>
    <row r="612">
      <c r="C612">
        <f>IF($A612="","",SUMIFS(Contributions!E:E,Contributions!B:B,$A612,Contributions!C:C,$B612))</f>
        <v/>
      </c>
      <c r="D612">
        <f>IF($A612="","",SUMIFS(Contributions!E:E,Contributions!B:B,$A612))</f>
        <v/>
      </c>
      <c r="E612">
        <f>IF($A612="","",XLOOKUP($A612,Returns!A:A,Returns!E:E))</f>
        <v/>
      </c>
      <c r="F612">
        <f>IF(OR($A612="",D612=0),"",C612/D612*E612)</f>
        <v/>
      </c>
      <c r="G612">
        <f>IF($A612="","",C612+F612)</f>
        <v/>
      </c>
      <c r="H612">
        <f>IF($A612="","",SUMIFS(Contributions!E:E,Contributions!C:C,$B612,Contributions!F:F,"Reinvest",Contributions!G:G,$A612))</f>
        <v/>
      </c>
      <c r="I612">
        <f>IF($A612="","",G612-H612)</f>
        <v/>
      </c>
    </row>
    <row r="613">
      <c r="C613">
        <f>IF($A613="","",SUMIFS(Contributions!E:E,Contributions!B:B,$A613,Contributions!C:C,$B613))</f>
        <v/>
      </c>
      <c r="D613">
        <f>IF($A613="","",SUMIFS(Contributions!E:E,Contributions!B:B,$A613))</f>
        <v/>
      </c>
      <c r="E613">
        <f>IF($A613="","",XLOOKUP($A613,Returns!A:A,Returns!E:E))</f>
        <v/>
      </c>
      <c r="F613">
        <f>IF(OR($A613="",D613=0),"",C613/D613*E613)</f>
        <v/>
      </c>
      <c r="G613">
        <f>IF($A613="","",C613+F613)</f>
        <v/>
      </c>
      <c r="H613">
        <f>IF($A613="","",SUMIFS(Contributions!E:E,Contributions!C:C,$B613,Contributions!F:F,"Reinvest",Contributions!G:G,$A613))</f>
        <v/>
      </c>
      <c r="I613">
        <f>IF($A613="","",G613-H613)</f>
        <v/>
      </c>
    </row>
    <row r="614">
      <c r="C614">
        <f>IF($A614="","",SUMIFS(Contributions!E:E,Contributions!B:B,$A614,Contributions!C:C,$B614))</f>
        <v/>
      </c>
      <c r="D614">
        <f>IF($A614="","",SUMIFS(Contributions!E:E,Contributions!B:B,$A614))</f>
        <v/>
      </c>
      <c r="E614">
        <f>IF($A614="","",XLOOKUP($A614,Returns!A:A,Returns!E:E))</f>
        <v/>
      </c>
      <c r="F614">
        <f>IF(OR($A614="",D614=0),"",C614/D614*E614)</f>
        <v/>
      </c>
      <c r="G614">
        <f>IF($A614="","",C614+F614)</f>
        <v/>
      </c>
      <c r="H614">
        <f>IF($A614="","",SUMIFS(Contributions!E:E,Contributions!C:C,$B614,Contributions!F:F,"Reinvest",Contributions!G:G,$A614))</f>
        <v/>
      </c>
      <c r="I614">
        <f>IF($A614="","",G614-H614)</f>
        <v/>
      </c>
    </row>
    <row r="615">
      <c r="C615">
        <f>IF($A615="","",SUMIFS(Contributions!E:E,Contributions!B:B,$A615,Contributions!C:C,$B615))</f>
        <v/>
      </c>
      <c r="D615">
        <f>IF($A615="","",SUMIFS(Contributions!E:E,Contributions!B:B,$A615))</f>
        <v/>
      </c>
      <c r="E615">
        <f>IF($A615="","",XLOOKUP($A615,Returns!A:A,Returns!E:E))</f>
        <v/>
      </c>
      <c r="F615">
        <f>IF(OR($A615="",D615=0),"",C615/D615*E615)</f>
        <v/>
      </c>
      <c r="G615">
        <f>IF($A615="","",C615+F615)</f>
        <v/>
      </c>
      <c r="H615">
        <f>IF($A615="","",SUMIFS(Contributions!E:E,Contributions!C:C,$B615,Contributions!F:F,"Reinvest",Contributions!G:G,$A615))</f>
        <v/>
      </c>
      <c r="I615">
        <f>IF($A615="","",G615-H615)</f>
        <v/>
      </c>
    </row>
    <row r="616">
      <c r="C616">
        <f>IF($A616="","",SUMIFS(Contributions!E:E,Contributions!B:B,$A616,Contributions!C:C,$B616))</f>
        <v/>
      </c>
      <c r="D616">
        <f>IF($A616="","",SUMIFS(Contributions!E:E,Contributions!B:B,$A616))</f>
        <v/>
      </c>
      <c r="E616">
        <f>IF($A616="","",XLOOKUP($A616,Returns!A:A,Returns!E:E))</f>
        <v/>
      </c>
      <c r="F616">
        <f>IF(OR($A616="",D616=0),"",C616/D616*E616)</f>
        <v/>
      </c>
      <c r="G616">
        <f>IF($A616="","",C616+F616)</f>
        <v/>
      </c>
      <c r="H616">
        <f>IF($A616="","",SUMIFS(Contributions!E:E,Contributions!C:C,$B616,Contributions!F:F,"Reinvest",Contributions!G:G,$A616))</f>
        <v/>
      </c>
      <c r="I616">
        <f>IF($A616="","",G616-H616)</f>
        <v/>
      </c>
    </row>
    <row r="617">
      <c r="C617">
        <f>IF($A617="","",SUMIFS(Contributions!E:E,Contributions!B:B,$A617,Contributions!C:C,$B617))</f>
        <v/>
      </c>
      <c r="D617">
        <f>IF($A617="","",SUMIFS(Contributions!E:E,Contributions!B:B,$A617))</f>
        <v/>
      </c>
      <c r="E617">
        <f>IF($A617="","",XLOOKUP($A617,Returns!A:A,Returns!E:E))</f>
        <v/>
      </c>
      <c r="F617">
        <f>IF(OR($A617="",D617=0),"",C617/D617*E617)</f>
        <v/>
      </c>
      <c r="G617">
        <f>IF($A617="","",C617+F617)</f>
        <v/>
      </c>
      <c r="H617">
        <f>IF($A617="","",SUMIFS(Contributions!E:E,Contributions!C:C,$B617,Contributions!F:F,"Reinvest",Contributions!G:G,$A617))</f>
        <v/>
      </c>
      <c r="I617">
        <f>IF($A617="","",G617-H617)</f>
        <v/>
      </c>
    </row>
    <row r="618">
      <c r="C618">
        <f>IF($A618="","",SUMIFS(Contributions!E:E,Contributions!B:B,$A618,Contributions!C:C,$B618))</f>
        <v/>
      </c>
      <c r="D618">
        <f>IF($A618="","",SUMIFS(Contributions!E:E,Contributions!B:B,$A618))</f>
        <v/>
      </c>
      <c r="E618">
        <f>IF($A618="","",XLOOKUP($A618,Returns!A:A,Returns!E:E))</f>
        <v/>
      </c>
      <c r="F618">
        <f>IF(OR($A618="",D618=0),"",C618/D618*E618)</f>
        <v/>
      </c>
      <c r="G618">
        <f>IF($A618="","",C618+F618)</f>
        <v/>
      </c>
      <c r="H618">
        <f>IF($A618="","",SUMIFS(Contributions!E:E,Contributions!C:C,$B618,Contributions!F:F,"Reinvest",Contributions!G:G,$A618))</f>
        <v/>
      </c>
      <c r="I618">
        <f>IF($A618="","",G618-H618)</f>
        <v/>
      </c>
    </row>
    <row r="619">
      <c r="C619">
        <f>IF($A619="","",SUMIFS(Contributions!E:E,Contributions!B:B,$A619,Contributions!C:C,$B619))</f>
        <v/>
      </c>
      <c r="D619">
        <f>IF($A619="","",SUMIFS(Contributions!E:E,Contributions!B:B,$A619))</f>
        <v/>
      </c>
      <c r="E619">
        <f>IF($A619="","",XLOOKUP($A619,Returns!A:A,Returns!E:E))</f>
        <v/>
      </c>
      <c r="F619">
        <f>IF(OR($A619="",D619=0),"",C619/D619*E619)</f>
        <v/>
      </c>
      <c r="G619">
        <f>IF($A619="","",C619+F619)</f>
        <v/>
      </c>
      <c r="H619">
        <f>IF($A619="","",SUMIFS(Contributions!E:E,Contributions!C:C,$B619,Contributions!F:F,"Reinvest",Contributions!G:G,$A619))</f>
        <v/>
      </c>
      <c r="I619">
        <f>IF($A619="","",G619-H619)</f>
        <v/>
      </c>
    </row>
    <row r="620">
      <c r="C620">
        <f>IF($A620="","",SUMIFS(Contributions!E:E,Contributions!B:B,$A620,Contributions!C:C,$B620))</f>
        <v/>
      </c>
      <c r="D620">
        <f>IF($A620="","",SUMIFS(Contributions!E:E,Contributions!B:B,$A620))</f>
        <v/>
      </c>
      <c r="E620">
        <f>IF($A620="","",XLOOKUP($A620,Returns!A:A,Returns!E:E))</f>
        <v/>
      </c>
      <c r="F620">
        <f>IF(OR($A620="",D620=0),"",C620/D620*E620)</f>
        <v/>
      </c>
      <c r="G620">
        <f>IF($A620="","",C620+F620)</f>
        <v/>
      </c>
      <c r="H620">
        <f>IF($A620="","",SUMIFS(Contributions!E:E,Contributions!C:C,$B620,Contributions!F:F,"Reinvest",Contributions!G:G,$A620))</f>
        <v/>
      </c>
      <c r="I620">
        <f>IF($A620="","",G620-H620)</f>
        <v/>
      </c>
    </row>
    <row r="621">
      <c r="C621">
        <f>IF($A621="","",SUMIFS(Contributions!E:E,Contributions!B:B,$A621,Contributions!C:C,$B621))</f>
        <v/>
      </c>
      <c r="D621">
        <f>IF($A621="","",SUMIFS(Contributions!E:E,Contributions!B:B,$A621))</f>
        <v/>
      </c>
      <c r="E621">
        <f>IF($A621="","",XLOOKUP($A621,Returns!A:A,Returns!E:E))</f>
        <v/>
      </c>
      <c r="F621">
        <f>IF(OR($A621="",D621=0),"",C621/D621*E621)</f>
        <v/>
      </c>
      <c r="G621">
        <f>IF($A621="","",C621+F621)</f>
        <v/>
      </c>
      <c r="H621">
        <f>IF($A621="","",SUMIFS(Contributions!E:E,Contributions!C:C,$B621,Contributions!F:F,"Reinvest",Contributions!G:G,$A621))</f>
        <v/>
      </c>
      <c r="I621">
        <f>IF($A621="","",G621-H621)</f>
        <v/>
      </c>
    </row>
    <row r="622">
      <c r="C622">
        <f>IF($A622="","",SUMIFS(Contributions!E:E,Contributions!B:B,$A622,Contributions!C:C,$B622))</f>
        <v/>
      </c>
      <c r="D622">
        <f>IF($A622="","",SUMIFS(Contributions!E:E,Contributions!B:B,$A622))</f>
        <v/>
      </c>
      <c r="E622">
        <f>IF($A622="","",XLOOKUP($A622,Returns!A:A,Returns!E:E))</f>
        <v/>
      </c>
      <c r="F622">
        <f>IF(OR($A622="",D622=0),"",C622/D622*E622)</f>
        <v/>
      </c>
      <c r="G622">
        <f>IF($A622="","",C622+F622)</f>
        <v/>
      </c>
      <c r="H622">
        <f>IF($A622="","",SUMIFS(Contributions!E:E,Contributions!C:C,$B622,Contributions!F:F,"Reinvest",Contributions!G:G,$A622))</f>
        <v/>
      </c>
      <c r="I622">
        <f>IF($A622="","",G622-H622)</f>
        <v/>
      </c>
    </row>
    <row r="623">
      <c r="C623">
        <f>IF($A623="","",SUMIFS(Contributions!E:E,Contributions!B:B,$A623,Contributions!C:C,$B623))</f>
        <v/>
      </c>
      <c r="D623">
        <f>IF($A623="","",SUMIFS(Contributions!E:E,Contributions!B:B,$A623))</f>
        <v/>
      </c>
      <c r="E623">
        <f>IF($A623="","",XLOOKUP($A623,Returns!A:A,Returns!E:E))</f>
        <v/>
      </c>
      <c r="F623">
        <f>IF(OR($A623="",D623=0),"",C623/D623*E623)</f>
        <v/>
      </c>
      <c r="G623">
        <f>IF($A623="","",C623+F623)</f>
        <v/>
      </c>
      <c r="H623">
        <f>IF($A623="","",SUMIFS(Contributions!E:E,Contributions!C:C,$B623,Contributions!F:F,"Reinvest",Contributions!G:G,$A623))</f>
        <v/>
      </c>
      <c r="I623">
        <f>IF($A623="","",G623-H623)</f>
        <v/>
      </c>
    </row>
    <row r="624">
      <c r="C624">
        <f>IF($A624="","",SUMIFS(Contributions!E:E,Contributions!B:B,$A624,Contributions!C:C,$B624))</f>
        <v/>
      </c>
      <c r="D624">
        <f>IF($A624="","",SUMIFS(Contributions!E:E,Contributions!B:B,$A624))</f>
        <v/>
      </c>
      <c r="E624">
        <f>IF($A624="","",XLOOKUP($A624,Returns!A:A,Returns!E:E))</f>
        <v/>
      </c>
      <c r="F624">
        <f>IF(OR($A624="",D624=0),"",C624/D624*E624)</f>
        <v/>
      </c>
      <c r="G624">
        <f>IF($A624="","",C624+F624)</f>
        <v/>
      </c>
      <c r="H624">
        <f>IF($A624="","",SUMIFS(Contributions!E:E,Contributions!C:C,$B624,Contributions!F:F,"Reinvest",Contributions!G:G,$A624))</f>
        <v/>
      </c>
      <c r="I624">
        <f>IF($A624="","",G624-H624)</f>
        <v/>
      </c>
    </row>
    <row r="625">
      <c r="C625">
        <f>IF($A625="","",SUMIFS(Contributions!E:E,Contributions!B:B,$A625,Contributions!C:C,$B625))</f>
        <v/>
      </c>
      <c r="D625">
        <f>IF($A625="","",SUMIFS(Contributions!E:E,Contributions!B:B,$A625))</f>
        <v/>
      </c>
      <c r="E625">
        <f>IF($A625="","",XLOOKUP($A625,Returns!A:A,Returns!E:E))</f>
        <v/>
      </c>
      <c r="F625">
        <f>IF(OR($A625="",D625=0),"",C625/D625*E625)</f>
        <v/>
      </c>
      <c r="G625">
        <f>IF($A625="","",C625+F625)</f>
        <v/>
      </c>
      <c r="H625">
        <f>IF($A625="","",SUMIFS(Contributions!E:E,Contributions!C:C,$B625,Contributions!F:F,"Reinvest",Contributions!G:G,$A625))</f>
        <v/>
      </c>
      <c r="I625">
        <f>IF($A625="","",G625-H625)</f>
        <v/>
      </c>
    </row>
    <row r="626">
      <c r="C626">
        <f>IF($A626="","",SUMIFS(Contributions!E:E,Contributions!B:B,$A626,Contributions!C:C,$B626))</f>
        <v/>
      </c>
      <c r="D626">
        <f>IF($A626="","",SUMIFS(Contributions!E:E,Contributions!B:B,$A626))</f>
        <v/>
      </c>
      <c r="E626">
        <f>IF($A626="","",XLOOKUP($A626,Returns!A:A,Returns!E:E))</f>
        <v/>
      </c>
      <c r="F626">
        <f>IF(OR($A626="",D626=0),"",C626/D626*E626)</f>
        <v/>
      </c>
      <c r="G626">
        <f>IF($A626="","",C626+F626)</f>
        <v/>
      </c>
      <c r="H626">
        <f>IF($A626="","",SUMIFS(Contributions!E:E,Contributions!C:C,$B626,Contributions!F:F,"Reinvest",Contributions!G:G,$A626))</f>
        <v/>
      </c>
      <c r="I626">
        <f>IF($A626="","",G626-H626)</f>
        <v/>
      </c>
    </row>
    <row r="627">
      <c r="C627">
        <f>IF($A627="","",SUMIFS(Contributions!E:E,Contributions!B:B,$A627,Contributions!C:C,$B627))</f>
        <v/>
      </c>
      <c r="D627">
        <f>IF($A627="","",SUMIFS(Contributions!E:E,Contributions!B:B,$A627))</f>
        <v/>
      </c>
      <c r="E627">
        <f>IF($A627="","",XLOOKUP($A627,Returns!A:A,Returns!E:E))</f>
        <v/>
      </c>
      <c r="F627">
        <f>IF(OR($A627="",D627=0),"",C627/D627*E627)</f>
        <v/>
      </c>
      <c r="G627">
        <f>IF($A627="","",C627+F627)</f>
        <v/>
      </c>
      <c r="H627">
        <f>IF($A627="","",SUMIFS(Contributions!E:E,Contributions!C:C,$B627,Contributions!F:F,"Reinvest",Contributions!G:G,$A627))</f>
        <v/>
      </c>
      <c r="I627">
        <f>IF($A627="","",G627-H627)</f>
        <v/>
      </c>
    </row>
    <row r="628">
      <c r="C628">
        <f>IF($A628="","",SUMIFS(Contributions!E:E,Contributions!B:B,$A628,Contributions!C:C,$B628))</f>
        <v/>
      </c>
      <c r="D628">
        <f>IF($A628="","",SUMIFS(Contributions!E:E,Contributions!B:B,$A628))</f>
        <v/>
      </c>
      <c r="E628">
        <f>IF($A628="","",XLOOKUP($A628,Returns!A:A,Returns!E:E))</f>
        <v/>
      </c>
      <c r="F628">
        <f>IF(OR($A628="",D628=0),"",C628/D628*E628)</f>
        <v/>
      </c>
      <c r="G628">
        <f>IF($A628="","",C628+F628)</f>
        <v/>
      </c>
      <c r="H628">
        <f>IF($A628="","",SUMIFS(Contributions!E:E,Contributions!C:C,$B628,Contributions!F:F,"Reinvest",Contributions!G:G,$A628))</f>
        <v/>
      </c>
      <c r="I628">
        <f>IF($A628="","",G628-H628)</f>
        <v/>
      </c>
    </row>
    <row r="629">
      <c r="C629">
        <f>IF($A629="","",SUMIFS(Contributions!E:E,Contributions!B:B,$A629,Contributions!C:C,$B629))</f>
        <v/>
      </c>
      <c r="D629">
        <f>IF($A629="","",SUMIFS(Contributions!E:E,Contributions!B:B,$A629))</f>
        <v/>
      </c>
      <c r="E629">
        <f>IF($A629="","",XLOOKUP($A629,Returns!A:A,Returns!E:E))</f>
        <v/>
      </c>
      <c r="F629">
        <f>IF(OR($A629="",D629=0),"",C629/D629*E629)</f>
        <v/>
      </c>
      <c r="G629">
        <f>IF($A629="","",C629+F629)</f>
        <v/>
      </c>
      <c r="H629">
        <f>IF($A629="","",SUMIFS(Contributions!E:E,Contributions!C:C,$B629,Contributions!F:F,"Reinvest",Contributions!G:G,$A629))</f>
        <v/>
      </c>
      <c r="I629">
        <f>IF($A629="","",G629-H629)</f>
        <v/>
      </c>
    </row>
    <row r="630">
      <c r="C630">
        <f>IF($A630="","",SUMIFS(Contributions!E:E,Contributions!B:B,$A630,Contributions!C:C,$B630))</f>
        <v/>
      </c>
      <c r="D630">
        <f>IF($A630="","",SUMIFS(Contributions!E:E,Contributions!B:B,$A630))</f>
        <v/>
      </c>
      <c r="E630">
        <f>IF($A630="","",XLOOKUP($A630,Returns!A:A,Returns!E:E))</f>
        <v/>
      </c>
      <c r="F630">
        <f>IF(OR($A630="",D630=0),"",C630/D630*E630)</f>
        <v/>
      </c>
      <c r="G630">
        <f>IF($A630="","",C630+F630)</f>
        <v/>
      </c>
      <c r="H630">
        <f>IF($A630="","",SUMIFS(Contributions!E:E,Contributions!C:C,$B630,Contributions!F:F,"Reinvest",Contributions!G:G,$A630))</f>
        <v/>
      </c>
      <c r="I630">
        <f>IF($A630="","",G630-H630)</f>
        <v/>
      </c>
    </row>
    <row r="631">
      <c r="C631">
        <f>IF($A631="","",SUMIFS(Contributions!E:E,Contributions!B:B,$A631,Contributions!C:C,$B631))</f>
        <v/>
      </c>
      <c r="D631">
        <f>IF($A631="","",SUMIFS(Contributions!E:E,Contributions!B:B,$A631))</f>
        <v/>
      </c>
      <c r="E631">
        <f>IF($A631="","",XLOOKUP($A631,Returns!A:A,Returns!E:E))</f>
        <v/>
      </c>
      <c r="F631">
        <f>IF(OR($A631="",D631=0),"",C631/D631*E631)</f>
        <v/>
      </c>
      <c r="G631">
        <f>IF($A631="","",C631+F631)</f>
        <v/>
      </c>
      <c r="H631">
        <f>IF($A631="","",SUMIFS(Contributions!E:E,Contributions!C:C,$B631,Contributions!F:F,"Reinvest",Contributions!G:G,$A631))</f>
        <v/>
      </c>
      <c r="I631">
        <f>IF($A631="","",G631-H631)</f>
        <v/>
      </c>
    </row>
    <row r="632">
      <c r="C632">
        <f>IF($A632="","",SUMIFS(Contributions!E:E,Contributions!B:B,$A632,Contributions!C:C,$B632))</f>
        <v/>
      </c>
      <c r="D632">
        <f>IF($A632="","",SUMIFS(Contributions!E:E,Contributions!B:B,$A632))</f>
        <v/>
      </c>
      <c r="E632">
        <f>IF($A632="","",XLOOKUP($A632,Returns!A:A,Returns!E:E))</f>
        <v/>
      </c>
      <c r="F632">
        <f>IF(OR($A632="",D632=0),"",C632/D632*E632)</f>
        <v/>
      </c>
      <c r="G632">
        <f>IF($A632="","",C632+F632)</f>
        <v/>
      </c>
      <c r="H632">
        <f>IF($A632="","",SUMIFS(Contributions!E:E,Contributions!C:C,$B632,Contributions!F:F,"Reinvest",Contributions!G:G,$A632))</f>
        <v/>
      </c>
      <c r="I632">
        <f>IF($A632="","",G632-H632)</f>
        <v/>
      </c>
    </row>
    <row r="633">
      <c r="C633">
        <f>IF($A633="","",SUMIFS(Contributions!E:E,Contributions!B:B,$A633,Contributions!C:C,$B633))</f>
        <v/>
      </c>
      <c r="D633">
        <f>IF($A633="","",SUMIFS(Contributions!E:E,Contributions!B:B,$A633))</f>
        <v/>
      </c>
      <c r="E633">
        <f>IF($A633="","",XLOOKUP($A633,Returns!A:A,Returns!E:E))</f>
        <v/>
      </c>
      <c r="F633">
        <f>IF(OR($A633="",D633=0),"",C633/D633*E633)</f>
        <v/>
      </c>
      <c r="G633">
        <f>IF($A633="","",C633+F633)</f>
        <v/>
      </c>
      <c r="H633">
        <f>IF($A633="","",SUMIFS(Contributions!E:E,Contributions!C:C,$B633,Contributions!F:F,"Reinvest",Contributions!G:G,$A633))</f>
        <v/>
      </c>
      <c r="I633">
        <f>IF($A633="","",G633-H633)</f>
        <v/>
      </c>
    </row>
    <row r="634">
      <c r="C634">
        <f>IF($A634="","",SUMIFS(Contributions!E:E,Contributions!B:B,$A634,Contributions!C:C,$B634))</f>
        <v/>
      </c>
      <c r="D634">
        <f>IF($A634="","",SUMIFS(Contributions!E:E,Contributions!B:B,$A634))</f>
        <v/>
      </c>
      <c r="E634">
        <f>IF($A634="","",XLOOKUP($A634,Returns!A:A,Returns!E:E))</f>
        <v/>
      </c>
      <c r="F634">
        <f>IF(OR($A634="",D634=0),"",C634/D634*E634)</f>
        <v/>
      </c>
      <c r="G634">
        <f>IF($A634="","",C634+F634)</f>
        <v/>
      </c>
      <c r="H634">
        <f>IF($A634="","",SUMIFS(Contributions!E:E,Contributions!C:C,$B634,Contributions!F:F,"Reinvest",Contributions!G:G,$A634))</f>
        <v/>
      </c>
      <c r="I634">
        <f>IF($A634="","",G634-H634)</f>
        <v/>
      </c>
    </row>
    <row r="635">
      <c r="C635">
        <f>IF($A635="","",SUMIFS(Contributions!E:E,Contributions!B:B,$A635,Contributions!C:C,$B635))</f>
        <v/>
      </c>
      <c r="D635">
        <f>IF($A635="","",SUMIFS(Contributions!E:E,Contributions!B:B,$A635))</f>
        <v/>
      </c>
      <c r="E635">
        <f>IF($A635="","",XLOOKUP($A635,Returns!A:A,Returns!E:E))</f>
        <v/>
      </c>
      <c r="F635">
        <f>IF(OR($A635="",D635=0),"",C635/D635*E635)</f>
        <v/>
      </c>
      <c r="G635">
        <f>IF($A635="","",C635+F635)</f>
        <v/>
      </c>
      <c r="H635">
        <f>IF($A635="","",SUMIFS(Contributions!E:E,Contributions!C:C,$B635,Contributions!F:F,"Reinvest",Contributions!G:G,$A635))</f>
        <v/>
      </c>
      <c r="I635">
        <f>IF($A635="","",G635-H635)</f>
        <v/>
      </c>
    </row>
    <row r="636">
      <c r="C636">
        <f>IF($A636="","",SUMIFS(Contributions!E:E,Contributions!B:B,$A636,Contributions!C:C,$B636))</f>
        <v/>
      </c>
      <c r="D636">
        <f>IF($A636="","",SUMIFS(Contributions!E:E,Contributions!B:B,$A636))</f>
        <v/>
      </c>
      <c r="E636">
        <f>IF($A636="","",XLOOKUP($A636,Returns!A:A,Returns!E:E))</f>
        <v/>
      </c>
      <c r="F636">
        <f>IF(OR($A636="",D636=0),"",C636/D636*E636)</f>
        <v/>
      </c>
      <c r="G636">
        <f>IF($A636="","",C636+F636)</f>
        <v/>
      </c>
      <c r="H636">
        <f>IF($A636="","",SUMIFS(Contributions!E:E,Contributions!C:C,$B636,Contributions!F:F,"Reinvest",Contributions!G:G,$A636))</f>
        <v/>
      </c>
      <c r="I636">
        <f>IF($A636="","",G636-H636)</f>
        <v/>
      </c>
    </row>
    <row r="637">
      <c r="C637">
        <f>IF($A637="","",SUMIFS(Contributions!E:E,Contributions!B:B,$A637,Contributions!C:C,$B637))</f>
        <v/>
      </c>
      <c r="D637">
        <f>IF($A637="","",SUMIFS(Contributions!E:E,Contributions!B:B,$A637))</f>
        <v/>
      </c>
      <c r="E637">
        <f>IF($A637="","",XLOOKUP($A637,Returns!A:A,Returns!E:E))</f>
        <v/>
      </c>
      <c r="F637">
        <f>IF(OR($A637="",D637=0),"",C637/D637*E637)</f>
        <v/>
      </c>
      <c r="G637">
        <f>IF($A637="","",C637+F637)</f>
        <v/>
      </c>
      <c r="H637">
        <f>IF($A637="","",SUMIFS(Contributions!E:E,Contributions!C:C,$B637,Contributions!F:F,"Reinvest",Contributions!G:G,$A637))</f>
        <v/>
      </c>
      <c r="I637">
        <f>IF($A637="","",G637-H637)</f>
        <v/>
      </c>
    </row>
    <row r="638">
      <c r="C638">
        <f>IF($A638="","",SUMIFS(Contributions!E:E,Contributions!B:B,$A638,Contributions!C:C,$B638))</f>
        <v/>
      </c>
      <c r="D638">
        <f>IF($A638="","",SUMIFS(Contributions!E:E,Contributions!B:B,$A638))</f>
        <v/>
      </c>
      <c r="E638">
        <f>IF($A638="","",XLOOKUP($A638,Returns!A:A,Returns!E:E))</f>
        <v/>
      </c>
      <c r="F638">
        <f>IF(OR($A638="",D638=0),"",C638/D638*E638)</f>
        <v/>
      </c>
      <c r="G638">
        <f>IF($A638="","",C638+F638)</f>
        <v/>
      </c>
      <c r="H638">
        <f>IF($A638="","",SUMIFS(Contributions!E:E,Contributions!C:C,$B638,Contributions!F:F,"Reinvest",Contributions!G:G,$A638))</f>
        <v/>
      </c>
      <c r="I638">
        <f>IF($A638="","",G638-H638)</f>
        <v/>
      </c>
    </row>
    <row r="639">
      <c r="C639">
        <f>IF($A639="","",SUMIFS(Contributions!E:E,Contributions!B:B,$A639,Contributions!C:C,$B639))</f>
        <v/>
      </c>
      <c r="D639">
        <f>IF($A639="","",SUMIFS(Contributions!E:E,Contributions!B:B,$A639))</f>
        <v/>
      </c>
      <c r="E639">
        <f>IF($A639="","",XLOOKUP($A639,Returns!A:A,Returns!E:E))</f>
        <v/>
      </c>
      <c r="F639">
        <f>IF(OR($A639="",D639=0),"",C639/D639*E639)</f>
        <v/>
      </c>
      <c r="G639">
        <f>IF($A639="","",C639+F639)</f>
        <v/>
      </c>
      <c r="H639">
        <f>IF($A639="","",SUMIFS(Contributions!E:E,Contributions!C:C,$B639,Contributions!F:F,"Reinvest",Contributions!G:G,$A639))</f>
        <v/>
      </c>
      <c r="I639">
        <f>IF($A639="","",G639-H639)</f>
        <v/>
      </c>
    </row>
    <row r="640">
      <c r="C640">
        <f>IF($A640="","",SUMIFS(Contributions!E:E,Contributions!B:B,$A640,Contributions!C:C,$B640))</f>
        <v/>
      </c>
      <c r="D640">
        <f>IF($A640="","",SUMIFS(Contributions!E:E,Contributions!B:B,$A640))</f>
        <v/>
      </c>
      <c r="E640">
        <f>IF($A640="","",XLOOKUP($A640,Returns!A:A,Returns!E:E))</f>
        <v/>
      </c>
      <c r="F640">
        <f>IF(OR($A640="",D640=0),"",C640/D640*E640)</f>
        <v/>
      </c>
      <c r="G640">
        <f>IF($A640="","",C640+F640)</f>
        <v/>
      </c>
      <c r="H640">
        <f>IF($A640="","",SUMIFS(Contributions!E:E,Contributions!C:C,$B640,Contributions!F:F,"Reinvest",Contributions!G:G,$A640))</f>
        <v/>
      </c>
      <c r="I640">
        <f>IF($A640="","",G640-H640)</f>
        <v/>
      </c>
    </row>
    <row r="641">
      <c r="C641">
        <f>IF($A641="","",SUMIFS(Contributions!E:E,Contributions!B:B,$A641,Contributions!C:C,$B641))</f>
        <v/>
      </c>
      <c r="D641">
        <f>IF($A641="","",SUMIFS(Contributions!E:E,Contributions!B:B,$A641))</f>
        <v/>
      </c>
      <c r="E641">
        <f>IF($A641="","",XLOOKUP($A641,Returns!A:A,Returns!E:E))</f>
        <v/>
      </c>
      <c r="F641">
        <f>IF(OR($A641="",D641=0),"",C641/D641*E641)</f>
        <v/>
      </c>
      <c r="G641">
        <f>IF($A641="","",C641+F641)</f>
        <v/>
      </c>
      <c r="H641">
        <f>IF($A641="","",SUMIFS(Contributions!E:E,Contributions!C:C,$B641,Contributions!F:F,"Reinvest",Contributions!G:G,$A641))</f>
        <v/>
      </c>
      <c r="I641">
        <f>IF($A641="","",G641-H641)</f>
        <v/>
      </c>
    </row>
    <row r="642">
      <c r="C642">
        <f>IF($A642="","",SUMIFS(Contributions!E:E,Contributions!B:B,$A642,Contributions!C:C,$B642))</f>
        <v/>
      </c>
      <c r="D642">
        <f>IF($A642="","",SUMIFS(Contributions!E:E,Contributions!B:B,$A642))</f>
        <v/>
      </c>
      <c r="E642">
        <f>IF($A642="","",XLOOKUP($A642,Returns!A:A,Returns!E:E))</f>
        <v/>
      </c>
      <c r="F642">
        <f>IF(OR($A642="",D642=0),"",C642/D642*E642)</f>
        <v/>
      </c>
      <c r="G642">
        <f>IF($A642="","",C642+F642)</f>
        <v/>
      </c>
      <c r="H642">
        <f>IF($A642="","",SUMIFS(Contributions!E:E,Contributions!C:C,$B642,Contributions!F:F,"Reinvest",Contributions!G:G,$A642))</f>
        <v/>
      </c>
      <c r="I642">
        <f>IF($A642="","",G642-H642)</f>
        <v/>
      </c>
    </row>
    <row r="643">
      <c r="C643">
        <f>IF($A643="","",SUMIFS(Contributions!E:E,Contributions!B:B,$A643,Contributions!C:C,$B643))</f>
        <v/>
      </c>
      <c r="D643">
        <f>IF($A643="","",SUMIFS(Contributions!E:E,Contributions!B:B,$A643))</f>
        <v/>
      </c>
      <c r="E643">
        <f>IF($A643="","",XLOOKUP($A643,Returns!A:A,Returns!E:E))</f>
        <v/>
      </c>
      <c r="F643">
        <f>IF(OR($A643="",D643=0),"",C643/D643*E643)</f>
        <v/>
      </c>
      <c r="G643">
        <f>IF($A643="","",C643+F643)</f>
        <v/>
      </c>
      <c r="H643">
        <f>IF($A643="","",SUMIFS(Contributions!E:E,Contributions!C:C,$B643,Contributions!F:F,"Reinvest",Contributions!G:G,$A643))</f>
        <v/>
      </c>
      <c r="I643">
        <f>IF($A643="","",G643-H643)</f>
        <v/>
      </c>
    </row>
    <row r="644">
      <c r="C644">
        <f>IF($A644="","",SUMIFS(Contributions!E:E,Contributions!B:B,$A644,Contributions!C:C,$B644))</f>
        <v/>
      </c>
      <c r="D644">
        <f>IF($A644="","",SUMIFS(Contributions!E:E,Contributions!B:B,$A644))</f>
        <v/>
      </c>
      <c r="E644">
        <f>IF($A644="","",XLOOKUP($A644,Returns!A:A,Returns!E:E))</f>
        <v/>
      </c>
      <c r="F644">
        <f>IF(OR($A644="",D644=0),"",C644/D644*E644)</f>
        <v/>
      </c>
      <c r="G644">
        <f>IF($A644="","",C644+F644)</f>
        <v/>
      </c>
      <c r="H644">
        <f>IF($A644="","",SUMIFS(Contributions!E:E,Contributions!C:C,$B644,Contributions!F:F,"Reinvest",Contributions!G:G,$A644))</f>
        <v/>
      </c>
      <c r="I644">
        <f>IF($A644="","",G644-H644)</f>
        <v/>
      </c>
    </row>
    <row r="645">
      <c r="C645">
        <f>IF($A645="","",SUMIFS(Contributions!E:E,Contributions!B:B,$A645,Contributions!C:C,$B645))</f>
        <v/>
      </c>
      <c r="D645">
        <f>IF($A645="","",SUMIFS(Contributions!E:E,Contributions!B:B,$A645))</f>
        <v/>
      </c>
      <c r="E645">
        <f>IF($A645="","",XLOOKUP($A645,Returns!A:A,Returns!E:E))</f>
        <v/>
      </c>
      <c r="F645">
        <f>IF(OR($A645="",D645=0),"",C645/D645*E645)</f>
        <v/>
      </c>
      <c r="G645">
        <f>IF($A645="","",C645+F645)</f>
        <v/>
      </c>
      <c r="H645">
        <f>IF($A645="","",SUMIFS(Contributions!E:E,Contributions!C:C,$B645,Contributions!F:F,"Reinvest",Contributions!G:G,$A645))</f>
        <v/>
      </c>
      <c r="I645">
        <f>IF($A645="","",G645-H645)</f>
        <v/>
      </c>
    </row>
    <row r="646">
      <c r="C646">
        <f>IF($A646="","",SUMIFS(Contributions!E:E,Contributions!B:B,$A646,Contributions!C:C,$B646))</f>
        <v/>
      </c>
      <c r="D646">
        <f>IF($A646="","",SUMIFS(Contributions!E:E,Contributions!B:B,$A646))</f>
        <v/>
      </c>
      <c r="E646">
        <f>IF($A646="","",XLOOKUP($A646,Returns!A:A,Returns!E:E))</f>
        <v/>
      </c>
      <c r="F646">
        <f>IF(OR($A646="",D646=0),"",C646/D646*E646)</f>
        <v/>
      </c>
      <c r="G646">
        <f>IF($A646="","",C646+F646)</f>
        <v/>
      </c>
      <c r="H646">
        <f>IF($A646="","",SUMIFS(Contributions!E:E,Contributions!C:C,$B646,Contributions!F:F,"Reinvest",Contributions!G:G,$A646))</f>
        <v/>
      </c>
      <c r="I646">
        <f>IF($A646="","",G646-H646)</f>
        <v/>
      </c>
    </row>
    <row r="647">
      <c r="C647">
        <f>IF($A647="","",SUMIFS(Contributions!E:E,Contributions!B:B,$A647,Contributions!C:C,$B647))</f>
        <v/>
      </c>
      <c r="D647">
        <f>IF($A647="","",SUMIFS(Contributions!E:E,Contributions!B:B,$A647))</f>
        <v/>
      </c>
      <c r="E647">
        <f>IF($A647="","",XLOOKUP($A647,Returns!A:A,Returns!E:E))</f>
        <v/>
      </c>
      <c r="F647">
        <f>IF(OR($A647="",D647=0),"",C647/D647*E647)</f>
        <v/>
      </c>
      <c r="G647">
        <f>IF($A647="","",C647+F647)</f>
        <v/>
      </c>
      <c r="H647">
        <f>IF($A647="","",SUMIFS(Contributions!E:E,Contributions!C:C,$B647,Contributions!F:F,"Reinvest",Contributions!G:G,$A647))</f>
        <v/>
      </c>
      <c r="I647">
        <f>IF($A647="","",G647-H647)</f>
        <v/>
      </c>
    </row>
    <row r="648">
      <c r="C648">
        <f>IF($A648="","",SUMIFS(Contributions!E:E,Contributions!B:B,$A648,Contributions!C:C,$B648))</f>
        <v/>
      </c>
      <c r="D648">
        <f>IF($A648="","",SUMIFS(Contributions!E:E,Contributions!B:B,$A648))</f>
        <v/>
      </c>
      <c r="E648">
        <f>IF($A648="","",XLOOKUP($A648,Returns!A:A,Returns!E:E))</f>
        <v/>
      </c>
      <c r="F648">
        <f>IF(OR($A648="",D648=0),"",C648/D648*E648)</f>
        <v/>
      </c>
      <c r="G648">
        <f>IF($A648="","",C648+F648)</f>
        <v/>
      </c>
      <c r="H648">
        <f>IF($A648="","",SUMIFS(Contributions!E:E,Contributions!C:C,$B648,Contributions!F:F,"Reinvest",Contributions!G:G,$A648))</f>
        <v/>
      </c>
      <c r="I648">
        <f>IF($A648="","",G648-H648)</f>
        <v/>
      </c>
    </row>
    <row r="649">
      <c r="C649">
        <f>IF($A649="","",SUMIFS(Contributions!E:E,Contributions!B:B,$A649,Contributions!C:C,$B649))</f>
        <v/>
      </c>
      <c r="D649">
        <f>IF($A649="","",SUMIFS(Contributions!E:E,Contributions!B:B,$A649))</f>
        <v/>
      </c>
      <c r="E649">
        <f>IF($A649="","",XLOOKUP($A649,Returns!A:A,Returns!E:E))</f>
        <v/>
      </c>
      <c r="F649">
        <f>IF(OR($A649="",D649=0),"",C649/D649*E649)</f>
        <v/>
      </c>
      <c r="G649">
        <f>IF($A649="","",C649+F649)</f>
        <v/>
      </c>
      <c r="H649">
        <f>IF($A649="","",SUMIFS(Contributions!E:E,Contributions!C:C,$B649,Contributions!F:F,"Reinvest",Contributions!G:G,$A649))</f>
        <v/>
      </c>
      <c r="I649">
        <f>IF($A649="","",G649-H649)</f>
        <v/>
      </c>
    </row>
    <row r="650">
      <c r="C650">
        <f>IF($A650="","",SUMIFS(Contributions!E:E,Contributions!B:B,$A650,Contributions!C:C,$B650))</f>
        <v/>
      </c>
      <c r="D650">
        <f>IF($A650="","",SUMIFS(Contributions!E:E,Contributions!B:B,$A650))</f>
        <v/>
      </c>
      <c r="E650">
        <f>IF($A650="","",XLOOKUP($A650,Returns!A:A,Returns!E:E))</f>
        <v/>
      </c>
      <c r="F650">
        <f>IF(OR($A650="",D650=0),"",C650/D650*E650)</f>
        <v/>
      </c>
      <c r="G650">
        <f>IF($A650="","",C650+F650)</f>
        <v/>
      </c>
      <c r="H650">
        <f>IF($A650="","",SUMIFS(Contributions!E:E,Contributions!C:C,$B650,Contributions!F:F,"Reinvest",Contributions!G:G,$A650))</f>
        <v/>
      </c>
      <c r="I650">
        <f>IF($A650="","",G650-H650)</f>
        <v/>
      </c>
    </row>
    <row r="651">
      <c r="C651">
        <f>IF($A651="","",SUMIFS(Contributions!E:E,Contributions!B:B,$A651,Contributions!C:C,$B651))</f>
        <v/>
      </c>
      <c r="D651">
        <f>IF($A651="","",SUMIFS(Contributions!E:E,Contributions!B:B,$A651))</f>
        <v/>
      </c>
      <c r="E651">
        <f>IF($A651="","",XLOOKUP($A651,Returns!A:A,Returns!E:E))</f>
        <v/>
      </c>
      <c r="F651">
        <f>IF(OR($A651="",D651=0),"",C651/D651*E651)</f>
        <v/>
      </c>
      <c r="G651">
        <f>IF($A651="","",C651+F651)</f>
        <v/>
      </c>
      <c r="H651">
        <f>IF($A651="","",SUMIFS(Contributions!E:E,Contributions!C:C,$B651,Contributions!F:F,"Reinvest",Contributions!G:G,$A651))</f>
        <v/>
      </c>
      <c r="I651">
        <f>IF($A651="","",G651-H651)</f>
        <v/>
      </c>
    </row>
    <row r="652">
      <c r="C652">
        <f>IF($A652="","",SUMIFS(Contributions!E:E,Contributions!B:B,$A652,Contributions!C:C,$B652))</f>
        <v/>
      </c>
      <c r="D652">
        <f>IF($A652="","",SUMIFS(Contributions!E:E,Contributions!B:B,$A652))</f>
        <v/>
      </c>
      <c r="E652">
        <f>IF($A652="","",XLOOKUP($A652,Returns!A:A,Returns!E:E))</f>
        <v/>
      </c>
      <c r="F652">
        <f>IF(OR($A652="",D652=0),"",C652/D652*E652)</f>
        <v/>
      </c>
      <c r="G652">
        <f>IF($A652="","",C652+F652)</f>
        <v/>
      </c>
      <c r="H652">
        <f>IF($A652="","",SUMIFS(Contributions!E:E,Contributions!C:C,$B652,Contributions!F:F,"Reinvest",Contributions!G:G,$A652))</f>
        <v/>
      </c>
      <c r="I652">
        <f>IF($A652="","",G652-H652)</f>
        <v/>
      </c>
    </row>
    <row r="653">
      <c r="C653">
        <f>IF($A653="","",SUMIFS(Contributions!E:E,Contributions!B:B,$A653,Contributions!C:C,$B653))</f>
        <v/>
      </c>
      <c r="D653">
        <f>IF($A653="","",SUMIFS(Contributions!E:E,Contributions!B:B,$A653))</f>
        <v/>
      </c>
      <c r="E653">
        <f>IF($A653="","",XLOOKUP($A653,Returns!A:A,Returns!E:E))</f>
        <v/>
      </c>
      <c r="F653">
        <f>IF(OR($A653="",D653=0),"",C653/D653*E653)</f>
        <v/>
      </c>
      <c r="G653">
        <f>IF($A653="","",C653+F653)</f>
        <v/>
      </c>
      <c r="H653">
        <f>IF($A653="","",SUMIFS(Contributions!E:E,Contributions!C:C,$B653,Contributions!F:F,"Reinvest",Contributions!G:G,$A653))</f>
        <v/>
      </c>
      <c r="I653">
        <f>IF($A653="","",G653-H653)</f>
        <v/>
      </c>
    </row>
    <row r="654">
      <c r="C654">
        <f>IF($A654="","",SUMIFS(Contributions!E:E,Contributions!B:B,$A654,Contributions!C:C,$B654))</f>
        <v/>
      </c>
      <c r="D654">
        <f>IF($A654="","",SUMIFS(Contributions!E:E,Contributions!B:B,$A654))</f>
        <v/>
      </c>
      <c r="E654">
        <f>IF($A654="","",XLOOKUP($A654,Returns!A:A,Returns!E:E))</f>
        <v/>
      </c>
      <c r="F654">
        <f>IF(OR($A654="",D654=0),"",C654/D654*E654)</f>
        <v/>
      </c>
      <c r="G654">
        <f>IF($A654="","",C654+F654)</f>
        <v/>
      </c>
      <c r="H654">
        <f>IF($A654="","",SUMIFS(Contributions!E:E,Contributions!C:C,$B654,Contributions!F:F,"Reinvest",Contributions!G:G,$A654))</f>
        <v/>
      </c>
      <c r="I654">
        <f>IF($A654="","",G654-H654)</f>
        <v/>
      </c>
    </row>
    <row r="655">
      <c r="C655">
        <f>IF($A655="","",SUMIFS(Contributions!E:E,Contributions!B:B,$A655,Contributions!C:C,$B655))</f>
        <v/>
      </c>
      <c r="D655">
        <f>IF($A655="","",SUMIFS(Contributions!E:E,Contributions!B:B,$A655))</f>
        <v/>
      </c>
      <c r="E655">
        <f>IF($A655="","",XLOOKUP($A655,Returns!A:A,Returns!E:E))</f>
        <v/>
      </c>
      <c r="F655">
        <f>IF(OR($A655="",D655=0),"",C655/D655*E655)</f>
        <v/>
      </c>
      <c r="G655">
        <f>IF($A655="","",C655+F655)</f>
        <v/>
      </c>
      <c r="H655">
        <f>IF($A655="","",SUMIFS(Contributions!E:E,Contributions!C:C,$B655,Contributions!F:F,"Reinvest",Contributions!G:G,$A655))</f>
        <v/>
      </c>
      <c r="I655">
        <f>IF($A655="","",G655-H655)</f>
        <v/>
      </c>
    </row>
    <row r="656">
      <c r="C656">
        <f>IF($A656="","",SUMIFS(Contributions!E:E,Contributions!B:B,$A656,Contributions!C:C,$B656))</f>
        <v/>
      </c>
      <c r="D656">
        <f>IF($A656="","",SUMIFS(Contributions!E:E,Contributions!B:B,$A656))</f>
        <v/>
      </c>
      <c r="E656">
        <f>IF($A656="","",XLOOKUP($A656,Returns!A:A,Returns!E:E))</f>
        <v/>
      </c>
      <c r="F656">
        <f>IF(OR($A656="",D656=0),"",C656/D656*E656)</f>
        <v/>
      </c>
      <c r="G656">
        <f>IF($A656="","",C656+F656)</f>
        <v/>
      </c>
      <c r="H656">
        <f>IF($A656="","",SUMIFS(Contributions!E:E,Contributions!C:C,$B656,Contributions!F:F,"Reinvest",Contributions!G:G,$A656))</f>
        <v/>
      </c>
      <c r="I656">
        <f>IF($A656="","",G656-H656)</f>
        <v/>
      </c>
    </row>
    <row r="657">
      <c r="C657">
        <f>IF($A657="","",SUMIFS(Contributions!E:E,Contributions!B:B,$A657,Contributions!C:C,$B657))</f>
        <v/>
      </c>
      <c r="D657">
        <f>IF($A657="","",SUMIFS(Contributions!E:E,Contributions!B:B,$A657))</f>
        <v/>
      </c>
      <c r="E657">
        <f>IF($A657="","",XLOOKUP($A657,Returns!A:A,Returns!E:E))</f>
        <v/>
      </c>
      <c r="F657">
        <f>IF(OR($A657="",D657=0),"",C657/D657*E657)</f>
        <v/>
      </c>
      <c r="G657">
        <f>IF($A657="","",C657+F657)</f>
        <v/>
      </c>
      <c r="H657">
        <f>IF($A657="","",SUMIFS(Contributions!E:E,Contributions!C:C,$B657,Contributions!F:F,"Reinvest",Contributions!G:G,$A657))</f>
        <v/>
      </c>
      <c r="I657">
        <f>IF($A657="","",G657-H657)</f>
        <v/>
      </c>
    </row>
    <row r="658">
      <c r="C658">
        <f>IF($A658="","",SUMIFS(Contributions!E:E,Contributions!B:B,$A658,Contributions!C:C,$B658))</f>
        <v/>
      </c>
      <c r="D658">
        <f>IF($A658="","",SUMIFS(Contributions!E:E,Contributions!B:B,$A658))</f>
        <v/>
      </c>
      <c r="E658">
        <f>IF($A658="","",XLOOKUP($A658,Returns!A:A,Returns!E:E))</f>
        <v/>
      </c>
      <c r="F658">
        <f>IF(OR($A658="",D658=0),"",C658/D658*E658)</f>
        <v/>
      </c>
      <c r="G658">
        <f>IF($A658="","",C658+F658)</f>
        <v/>
      </c>
      <c r="H658">
        <f>IF($A658="","",SUMIFS(Contributions!E:E,Contributions!C:C,$B658,Contributions!F:F,"Reinvest",Contributions!G:G,$A658))</f>
        <v/>
      </c>
      <c r="I658">
        <f>IF($A658="","",G658-H658)</f>
        <v/>
      </c>
    </row>
    <row r="659">
      <c r="C659">
        <f>IF($A659="","",SUMIFS(Contributions!E:E,Contributions!B:B,$A659,Contributions!C:C,$B659))</f>
        <v/>
      </c>
      <c r="D659">
        <f>IF($A659="","",SUMIFS(Contributions!E:E,Contributions!B:B,$A659))</f>
        <v/>
      </c>
      <c r="E659">
        <f>IF($A659="","",XLOOKUP($A659,Returns!A:A,Returns!E:E))</f>
        <v/>
      </c>
      <c r="F659">
        <f>IF(OR($A659="",D659=0),"",C659/D659*E659)</f>
        <v/>
      </c>
      <c r="G659">
        <f>IF($A659="","",C659+F659)</f>
        <v/>
      </c>
      <c r="H659">
        <f>IF($A659="","",SUMIFS(Contributions!E:E,Contributions!C:C,$B659,Contributions!F:F,"Reinvest",Contributions!G:G,$A659))</f>
        <v/>
      </c>
      <c r="I659">
        <f>IF($A659="","",G659-H659)</f>
        <v/>
      </c>
    </row>
    <row r="660">
      <c r="C660">
        <f>IF($A660="","",SUMIFS(Contributions!E:E,Contributions!B:B,$A660,Contributions!C:C,$B660))</f>
        <v/>
      </c>
      <c r="D660">
        <f>IF($A660="","",SUMIFS(Contributions!E:E,Contributions!B:B,$A660))</f>
        <v/>
      </c>
      <c r="E660">
        <f>IF($A660="","",XLOOKUP($A660,Returns!A:A,Returns!E:E))</f>
        <v/>
      </c>
      <c r="F660">
        <f>IF(OR($A660="",D660=0),"",C660/D660*E660)</f>
        <v/>
      </c>
      <c r="G660">
        <f>IF($A660="","",C660+F660)</f>
        <v/>
      </c>
      <c r="H660">
        <f>IF($A660="","",SUMIFS(Contributions!E:E,Contributions!C:C,$B660,Contributions!F:F,"Reinvest",Contributions!G:G,$A660))</f>
        <v/>
      </c>
      <c r="I660">
        <f>IF($A660="","",G660-H660)</f>
        <v/>
      </c>
    </row>
    <row r="661">
      <c r="C661">
        <f>IF($A661="","",SUMIFS(Contributions!E:E,Contributions!B:B,$A661,Contributions!C:C,$B661))</f>
        <v/>
      </c>
      <c r="D661">
        <f>IF($A661="","",SUMIFS(Contributions!E:E,Contributions!B:B,$A661))</f>
        <v/>
      </c>
      <c r="E661">
        <f>IF($A661="","",XLOOKUP($A661,Returns!A:A,Returns!E:E))</f>
        <v/>
      </c>
      <c r="F661">
        <f>IF(OR($A661="",D661=0),"",C661/D661*E661)</f>
        <v/>
      </c>
      <c r="G661">
        <f>IF($A661="","",C661+F661)</f>
        <v/>
      </c>
      <c r="H661">
        <f>IF($A661="","",SUMIFS(Contributions!E:E,Contributions!C:C,$B661,Contributions!F:F,"Reinvest",Contributions!G:G,$A661))</f>
        <v/>
      </c>
      <c r="I661">
        <f>IF($A661="","",G661-H661)</f>
        <v/>
      </c>
    </row>
    <row r="662">
      <c r="C662">
        <f>IF($A662="","",SUMIFS(Contributions!E:E,Contributions!B:B,$A662,Contributions!C:C,$B662))</f>
        <v/>
      </c>
      <c r="D662">
        <f>IF($A662="","",SUMIFS(Contributions!E:E,Contributions!B:B,$A662))</f>
        <v/>
      </c>
      <c r="E662">
        <f>IF($A662="","",XLOOKUP($A662,Returns!A:A,Returns!E:E))</f>
        <v/>
      </c>
      <c r="F662">
        <f>IF(OR($A662="",D662=0),"",C662/D662*E662)</f>
        <v/>
      </c>
      <c r="G662">
        <f>IF($A662="","",C662+F662)</f>
        <v/>
      </c>
      <c r="H662">
        <f>IF($A662="","",SUMIFS(Contributions!E:E,Contributions!C:C,$B662,Contributions!F:F,"Reinvest",Contributions!G:G,$A662))</f>
        <v/>
      </c>
      <c r="I662">
        <f>IF($A662="","",G662-H662)</f>
        <v/>
      </c>
    </row>
    <row r="663">
      <c r="C663">
        <f>IF($A663="","",SUMIFS(Contributions!E:E,Contributions!B:B,$A663,Contributions!C:C,$B663))</f>
        <v/>
      </c>
      <c r="D663">
        <f>IF($A663="","",SUMIFS(Contributions!E:E,Contributions!B:B,$A663))</f>
        <v/>
      </c>
      <c r="E663">
        <f>IF($A663="","",XLOOKUP($A663,Returns!A:A,Returns!E:E))</f>
        <v/>
      </c>
      <c r="F663">
        <f>IF(OR($A663="",D663=0),"",C663/D663*E663)</f>
        <v/>
      </c>
      <c r="G663">
        <f>IF($A663="","",C663+F663)</f>
        <v/>
      </c>
      <c r="H663">
        <f>IF($A663="","",SUMIFS(Contributions!E:E,Contributions!C:C,$B663,Contributions!F:F,"Reinvest",Contributions!G:G,$A663))</f>
        <v/>
      </c>
      <c r="I663">
        <f>IF($A663="","",G663-H663)</f>
        <v/>
      </c>
    </row>
    <row r="664">
      <c r="C664">
        <f>IF($A664="","",SUMIFS(Contributions!E:E,Contributions!B:B,$A664,Contributions!C:C,$B664))</f>
        <v/>
      </c>
      <c r="D664">
        <f>IF($A664="","",SUMIFS(Contributions!E:E,Contributions!B:B,$A664))</f>
        <v/>
      </c>
      <c r="E664">
        <f>IF($A664="","",XLOOKUP($A664,Returns!A:A,Returns!E:E))</f>
        <v/>
      </c>
      <c r="F664">
        <f>IF(OR($A664="",D664=0),"",C664/D664*E664)</f>
        <v/>
      </c>
      <c r="G664">
        <f>IF($A664="","",C664+F664)</f>
        <v/>
      </c>
      <c r="H664">
        <f>IF($A664="","",SUMIFS(Contributions!E:E,Contributions!C:C,$B664,Contributions!F:F,"Reinvest",Contributions!G:G,$A664))</f>
        <v/>
      </c>
      <c r="I664">
        <f>IF($A664="","",G664-H664)</f>
        <v/>
      </c>
    </row>
    <row r="665">
      <c r="C665">
        <f>IF($A665="","",SUMIFS(Contributions!E:E,Contributions!B:B,$A665,Contributions!C:C,$B665))</f>
        <v/>
      </c>
      <c r="D665">
        <f>IF($A665="","",SUMIFS(Contributions!E:E,Contributions!B:B,$A665))</f>
        <v/>
      </c>
      <c r="E665">
        <f>IF($A665="","",XLOOKUP($A665,Returns!A:A,Returns!E:E))</f>
        <v/>
      </c>
      <c r="F665">
        <f>IF(OR($A665="",D665=0),"",C665/D665*E665)</f>
        <v/>
      </c>
      <c r="G665">
        <f>IF($A665="","",C665+F665)</f>
        <v/>
      </c>
      <c r="H665">
        <f>IF($A665="","",SUMIFS(Contributions!E:E,Contributions!C:C,$B665,Contributions!F:F,"Reinvest",Contributions!G:G,$A665))</f>
        <v/>
      </c>
      <c r="I665">
        <f>IF($A665="","",G665-H665)</f>
        <v/>
      </c>
    </row>
    <row r="666">
      <c r="C666">
        <f>IF($A666="","",SUMIFS(Contributions!E:E,Contributions!B:B,$A666,Contributions!C:C,$B666))</f>
        <v/>
      </c>
      <c r="D666">
        <f>IF($A666="","",SUMIFS(Contributions!E:E,Contributions!B:B,$A666))</f>
        <v/>
      </c>
      <c r="E666">
        <f>IF($A666="","",XLOOKUP($A666,Returns!A:A,Returns!E:E))</f>
        <v/>
      </c>
      <c r="F666">
        <f>IF(OR($A666="",D666=0),"",C666/D666*E666)</f>
        <v/>
      </c>
      <c r="G666">
        <f>IF($A666="","",C666+F666)</f>
        <v/>
      </c>
      <c r="H666">
        <f>IF($A666="","",SUMIFS(Contributions!E:E,Contributions!C:C,$B666,Contributions!F:F,"Reinvest",Contributions!G:G,$A666))</f>
        <v/>
      </c>
      <c r="I666">
        <f>IF($A666="","",G666-H666)</f>
        <v/>
      </c>
    </row>
    <row r="667">
      <c r="C667">
        <f>IF($A667="","",SUMIFS(Contributions!E:E,Contributions!B:B,$A667,Contributions!C:C,$B667))</f>
        <v/>
      </c>
      <c r="D667">
        <f>IF($A667="","",SUMIFS(Contributions!E:E,Contributions!B:B,$A667))</f>
        <v/>
      </c>
      <c r="E667">
        <f>IF($A667="","",XLOOKUP($A667,Returns!A:A,Returns!E:E))</f>
        <v/>
      </c>
      <c r="F667">
        <f>IF(OR($A667="",D667=0),"",C667/D667*E667)</f>
        <v/>
      </c>
      <c r="G667">
        <f>IF($A667="","",C667+F667)</f>
        <v/>
      </c>
      <c r="H667">
        <f>IF($A667="","",SUMIFS(Contributions!E:E,Contributions!C:C,$B667,Contributions!F:F,"Reinvest",Contributions!G:G,$A667))</f>
        <v/>
      </c>
      <c r="I667">
        <f>IF($A667="","",G667-H667)</f>
        <v/>
      </c>
    </row>
    <row r="668">
      <c r="C668">
        <f>IF($A668="","",SUMIFS(Contributions!E:E,Contributions!B:B,$A668,Contributions!C:C,$B668))</f>
        <v/>
      </c>
      <c r="D668">
        <f>IF($A668="","",SUMIFS(Contributions!E:E,Contributions!B:B,$A668))</f>
        <v/>
      </c>
      <c r="E668">
        <f>IF($A668="","",XLOOKUP($A668,Returns!A:A,Returns!E:E))</f>
        <v/>
      </c>
      <c r="F668">
        <f>IF(OR($A668="",D668=0),"",C668/D668*E668)</f>
        <v/>
      </c>
      <c r="G668">
        <f>IF($A668="","",C668+F668)</f>
        <v/>
      </c>
      <c r="H668">
        <f>IF($A668="","",SUMIFS(Contributions!E:E,Contributions!C:C,$B668,Contributions!F:F,"Reinvest",Contributions!G:G,$A668))</f>
        <v/>
      </c>
      <c r="I668">
        <f>IF($A668="","",G668-H668)</f>
        <v/>
      </c>
    </row>
    <row r="669">
      <c r="C669">
        <f>IF($A669="","",SUMIFS(Contributions!E:E,Contributions!B:B,$A669,Contributions!C:C,$B669))</f>
        <v/>
      </c>
      <c r="D669">
        <f>IF($A669="","",SUMIFS(Contributions!E:E,Contributions!B:B,$A669))</f>
        <v/>
      </c>
      <c r="E669">
        <f>IF($A669="","",XLOOKUP($A669,Returns!A:A,Returns!E:E))</f>
        <v/>
      </c>
      <c r="F669">
        <f>IF(OR($A669="",D669=0),"",C669/D669*E669)</f>
        <v/>
      </c>
      <c r="G669">
        <f>IF($A669="","",C669+F669)</f>
        <v/>
      </c>
      <c r="H669">
        <f>IF($A669="","",SUMIFS(Contributions!E:E,Contributions!C:C,$B669,Contributions!F:F,"Reinvest",Contributions!G:G,$A669))</f>
        <v/>
      </c>
      <c r="I669">
        <f>IF($A669="","",G669-H669)</f>
        <v/>
      </c>
    </row>
    <row r="670">
      <c r="C670">
        <f>IF($A670="","",SUMIFS(Contributions!E:E,Contributions!B:B,$A670,Contributions!C:C,$B670))</f>
        <v/>
      </c>
      <c r="D670">
        <f>IF($A670="","",SUMIFS(Contributions!E:E,Contributions!B:B,$A670))</f>
        <v/>
      </c>
      <c r="E670">
        <f>IF($A670="","",XLOOKUP($A670,Returns!A:A,Returns!E:E))</f>
        <v/>
      </c>
      <c r="F670">
        <f>IF(OR($A670="",D670=0),"",C670/D670*E670)</f>
        <v/>
      </c>
      <c r="G670">
        <f>IF($A670="","",C670+F670)</f>
        <v/>
      </c>
      <c r="H670">
        <f>IF($A670="","",SUMIFS(Contributions!E:E,Contributions!C:C,$B670,Contributions!F:F,"Reinvest",Contributions!G:G,$A670))</f>
        <v/>
      </c>
      <c r="I670">
        <f>IF($A670="","",G670-H670)</f>
        <v/>
      </c>
    </row>
    <row r="671">
      <c r="C671">
        <f>IF($A671="","",SUMIFS(Contributions!E:E,Contributions!B:B,$A671,Contributions!C:C,$B671))</f>
        <v/>
      </c>
      <c r="D671">
        <f>IF($A671="","",SUMIFS(Contributions!E:E,Contributions!B:B,$A671))</f>
        <v/>
      </c>
      <c r="E671">
        <f>IF($A671="","",XLOOKUP($A671,Returns!A:A,Returns!E:E))</f>
        <v/>
      </c>
      <c r="F671">
        <f>IF(OR($A671="",D671=0),"",C671/D671*E671)</f>
        <v/>
      </c>
      <c r="G671">
        <f>IF($A671="","",C671+F671)</f>
        <v/>
      </c>
      <c r="H671">
        <f>IF($A671="","",SUMIFS(Contributions!E:E,Contributions!C:C,$B671,Contributions!F:F,"Reinvest",Contributions!G:G,$A671))</f>
        <v/>
      </c>
      <c r="I671">
        <f>IF($A671="","",G671-H671)</f>
        <v/>
      </c>
    </row>
    <row r="672">
      <c r="C672">
        <f>IF($A672="","",SUMIFS(Contributions!E:E,Contributions!B:B,$A672,Contributions!C:C,$B672))</f>
        <v/>
      </c>
      <c r="D672">
        <f>IF($A672="","",SUMIFS(Contributions!E:E,Contributions!B:B,$A672))</f>
        <v/>
      </c>
      <c r="E672">
        <f>IF($A672="","",XLOOKUP($A672,Returns!A:A,Returns!E:E))</f>
        <v/>
      </c>
      <c r="F672">
        <f>IF(OR($A672="",D672=0),"",C672/D672*E672)</f>
        <v/>
      </c>
      <c r="G672">
        <f>IF($A672="","",C672+F672)</f>
        <v/>
      </c>
      <c r="H672">
        <f>IF($A672="","",SUMIFS(Contributions!E:E,Contributions!C:C,$B672,Contributions!F:F,"Reinvest",Contributions!G:G,$A672))</f>
        <v/>
      </c>
      <c r="I672">
        <f>IF($A672="","",G672-H672)</f>
        <v/>
      </c>
    </row>
    <row r="673">
      <c r="C673">
        <f>IF($A673="","",SUMIFS(Contributions!E:E,Contributions!B:B,$A673,Contributions!C:C,$B673))</f>
        <v/>
      </c>
      <c r="D673">
        <f>IF($A673="","",SUMIFS(Contributions!E:E,Contributions!B:B,$A673))</f>
        <v/>
      </c>
      <c r="E673">
        <f>IF($A673="","",XLOOKUP($A673,Returns!A:A,Returns!E:E))</f>
        <v/>
      </c>
      <c r="F673">
        <f>IF(OR($A673="",D673=0),"",C673/D673*E673)</f>
        <v/>
      </c>
      <c r="G673">
        <f>IF($A673="","",C673+F673)</f>
        <v/>
      </c>
      <c r="H673">
        <f>IF($A673="","",SUMIFS(Contributions!E:E,Contributions!C:C,$B673,Contributions!F:F,"Reinvest",Contributions!G:G,$A673))</f>
        <v/>
      </c>
      <c r="I673">
        <f>IF($A673="","",G673-H673)</f>
        <v/>
      </c>
    </row>
    <row r="674">
      <c r="C674">
        <f>IF($A674="","",SUMIFS(Contributions!E:E,Contributions!B:B,$A674,Contributions!C:C,$B674))</f>
        <v/>
      </c>
      <c r="D674">
        <f>IF($A674="","",SUMIFS(Contributions!E:E,Contributions!B:B,$A674))</f>
        <v/>
      </c>
      <c r="E674">
        <f>IF($A674="","",XLOOKUP($A674,Returns!A:A,Returns!E:E))</f>
        <v/>
      </c>
      <c r="F674">
        <f>IF(OR($A674="",D674=0),"",C674/D674*E674)</f>
        <v/>
      </c>
      <c r="G674">
        <f>IF($A674="","",C674+F674)</f>
        <v/>
      </c>
      <c r="H674">
        <f>IF($A674="","",SUMIFS(Contributions!E:E,Contributions!C:C,$B674,Contributions!F:F,"Reinvest",Contributions!G:G,$A674))</f>
        <v/>
      </c>
      <c r="I674">
        <f>IF($A674="","",G674-H674)</f>
        <v/>
      </c>
    </row>
    <row r="675">
      <c r="C675">
        <f>IF($A675="","",SUMIFS(Contributions!E:E,Contributions!B:B,$A675,Contributions!C:C,$B675))</f>
        <v/>
      </c>
      <c r="D675">
        <f>IF($A675="","",SUMIFS(Contributions!E:E,Contributions!B:B,$A675))</f>
        <v/>
      </c>
      <c r="E675">
        <f>IF($A675="","",XLOOKUP($A675,Returns!A:A,Returns!E:E))</f>
        <v/>
      </c>
      <c r="F675">
        <f>IF(OR($A675="",D675=0),"",C675/D675*E675)</f>
        <v/>
      </c>
      <c r="G675">
        <f>IF($A675="","",C675+F675)</f>
        <v/>
      </c>
      <c r="H675">
        <f>IF($A675="","",SUMIFS(Contributions!E:E,Contributions!C:C,$B675,Contributions!F:F,"Reinvest",Contributions!G:G,$A675))</f>
        <v/>
      </c>
      <c r="I675">
        <f>IF($A675="","",G675-H675)</f>
        <v/>
      </c>
    </row>
    <row r="676">
      <c r="C676">
        <f>IF($A676="","",SUMIFS(Contributions!E:E,Contributions!B:B,$A676,Contributions!C:C,$B676))</f>
        <v/>
      </c>
      <c r="D676">
        <f>IF($A676="","",SUMIFS(Contributions!E:E,Contributions!B:B,$A676))</f>
        <v/>
      </c>
      <c r="E676">
        <f>IF($A676="","",XLOOKUP($A676,Returns!A:A,Returns!E:E))</f>
        <v/>
      </c>
      <c r="F676">
        <f>IF(OR($A676="",D676=0),"",C676/D676*E676)</f>
        <v/>
      </c>
      <c r="G676">
        <f>IF($A676="","",C676+F676)</f>
        <v/>
      </c>
      <c r="H676">
        <f>IF($A676="","",SUMIFS(Contributions!E:E,Contributions!C:C,$B676,Contributions!F:F,"Reinvest",Contributions!G:G,$A676))</f>
        <v/>
      </c>
      <c r="I676">
        <f>IF($A676="","",G676-H676)</f>
        <v/>
      </c>
    </row>
    <row r="677">
      <c r="C677">
        <f>IF($A677="","",SUMIFS(Contributions!E:E,Contributions!B:B,$A677,Contributions!C:C,$B677))</f>
        <v/>
      </c>
      <c r="D677">
        <f>IF($A677="","",SUMIFS(Contributions!E:E,Contributions!B:B,$A677))</f>
        <v/>
      </c>
      <c r="E677">
        <f>IF($A677="","",XLOOKUP($A677,Returns!A:A,Returns!E:E))</f>
        <v/>
      </c>
      <c r="F677">
        <f>IF(OR($A677="",D677=0),"",C677/D677*E677)</f>
        <v/>
      </c>
      <c r="G677">
        <f>IF($A677="","",C677+F677)</f>
        <v/>
      </c>
      <c r="H677">
        <f>IF($A677="","",SUMIFS(Contributions!E:E,Contributions!C:C,$B677,Contributions!F:F,"Reinvest",Contributions!G:G,$A677))</f>
        <v/>
      </c>
      <c r="I677">
        <f>IF($A677="","",G677-H677)</f>
        <v/>
      </c>
    </row>
    <row r="678">
      <c r="C678">
        <f>IF($A678="","",SUMIFS(Contributions!E:E,Contributions!B:B,$A678,Contributions!C:C,$B678))</f>
        <v/>
      </c>
      <c r="D678">
        <f>IF($A678="","",SUMIFS(Contributions!E:E,Contributions!B:B,$A678))</f>
        <v/>
      </c>
      <c r="E678">
        <f>IF($A678="","",XLOOKUP($A678,Returns!A:A,Returns!E:E))</f>
        <v/>
      </c>
      <c r="F678">
        <f>IF(OR($A678="",D678=0),"",C678/D678*E678)</f>
        <v/>
      </c>
      <c r="G678">
        <f>IF($A678="","",C678+F678)</f>
        <v/>
      </c>
      <c r="H678">
        <f>IF($A678="","",SUMIFS(Contributions!E:E,Contributions!C:C,$B678,Contributions!F:F,"Reinvest",Contributions!G:G,$A678))</f>
        <v/>
      </c>
      <c r="I678">
        <f>IF($A678="","",G678-H678)</f>
        <v/>
      </c>
    </row>
    <row r="679">
      <c r="C679">
        <f>IF($A679="","",SUMIFS(Contributions!E:E,Contributions!B:B,$A679,Contributions!C:C,$B679))</f>
        <v/>
      </c>
      <c r="D679">
        <f>IF($A679="","",SUMIFS(Contributions!E:E,Contributions!B:B,$A679))</f>
        <v/>
      </c>
      <c r="E679">
        <f>IF($A679="","",XLOOKUP($A679,Returns!A:A,Returns!E:E))</f>
        <v/>
      </c>
      <c r="F679">
        <f>IF(OR($A679="",D679=0),"",C679/D679*E679)</f>
        <v/>
      </c>
      <c r="G679">
        <f>IF($A679="","",C679+F679)</f>
        <v/>
      </c>
      <c r="H679">
        <f>IF($A679="","",SUMIFS(Contributions!E:E,Contributions!C:C,$B679,Contributions!F:F,"Reinvest",Contributions!G:G,$A679))</f>
        <v/>
      </c>
      <c r="I679">
        <f>IF($A679="","",G679-H679)</f>
        <v/>
      </c>
    </row>
    <row r="680">
      <c r="C680">
        <f>IF($A680="","",SUMIFS(Contributions!E:E,Contributions!B:B,$A680,Contributions!C:C,$B680))</f>
        <v/>
      </c>
      <c r="D680">
        <f>IF($A680="","",SUMIFS(Contributions!E:E,Contributions!B:B,$A680))</f>
        <v/>
      </c>
      <c r="E680">
        <f>IF($A680="","",XLOOKUP($A680,Returns!A:A,Returns!E:E))</f>
        <v/>
      </c>
      <c r="F680">
        <f>IF(OR($A680="",D680=0),"",C680/D680*E680)</f>
        <v/>
      </c>
      <c r="G680">
        <f>IF($A680="","",C680+F680)</f>
        <v/>
      </c>
      <c r="H680">
        <f>IF($A680="","",SUMIFS(Contributions!E:E,Contributions!C:C,$B680,Contributions!F:F,"Reinvest",Contributions!G:G,$A680))</f>
        <v/>
      </c>
      <c r="I680">
        <f>IF($A680="","",G680-H680)</f>
        <v/>
      </c>
    </row>
    <row r="681">
      <c r="C681">
        <f>IF($A681="","",SUMIFS(Contributions!E:E,Contributions!B:B,$A681,Contributions!C:C,$B681))</f>
        <v/>
      </c>
      <c r="D681">
        <f>IF($A681="","",SUMIFS(Contributions!E:E,Contributions!B:B,$A681))</f>
        <v/>
      </c>
      <c r="E681">
        <f>IF($A681="","",XLOOKUP($A681,Returns!A:A,Returns!E:E))</f>
        <v/>
      </c>
      <c r="F681">
        <f>IF(OR($A681="",D681=0),"",C681/D681*E681)</f>
        <v/>
      </c>
      <c r="G681">
        <f>IF($A681="","",C681+F681)</f>
        <v/>
      </c>
      <c r="H681">
        <f>IF($A681="","",SUMIFS(Contributions!E:E,Contributions!C:C,$B681,Contributions!F:F,"Reinvest",Contributions!G:G,$A681))</f>
        <v/>
      </c>
      <c r="I681">
        <f>IF($A681="","",G681-H681)</f>
        <v/>
      </c>
    </row>
    <row r="682">
      <c r="C682">
        <f>IF($A682="","",SUMIFS(Contributions!E:E,Contributions!B:B,$A682,Contributions!C:C,$B682))</f>
        <v/>
      </c>
      <c r="D682">
        <f>IF($A682="","",SUMIFS(Contributions!E:E,Contributions!B:B,$A682))</f>
        <v/>
      </c>
      <c r="E682">
        <f>IF($A682="","",XLOOKUP($A682,Returns!A:A,Returns!E:E))</f>
        <v/>
      </c>
      <c r="F682">
        <f>IF(OR($A682="",D682=0),"",C682/D682*E682)</f>
        <v/>
      </c>
      <c r="G682">
        <f>IF($A682="","",C682+F682)</f>
        <v/>
      </c>
      <c r="H682">
        <f>IF($A682="","",SUMIFS(Contributions!E:E,Contributions!C:C,$B682,Contributions!F:F,"Reinvest",Contributions!G:G,$A682))</f>
        <v/>
      </c>
      <c r="I682">
        <f>IF($A682="","",G682-H682)</f>
        <v/>
      </c>
    </row>
    <row r="683">
      <c r="C683">
        <f>IF($A683="","",SUMIFS(Contributions!E:E,Contributions!B:B,$A683,Contributions!C:C,$B683))</f>
        <v/>
      </c>
      <c r="D683">
        <f>IF($A683="","",SUMIFS(Contributions!E:E,Contributions!B:B,$A683))</f>
        <v/>
      </c>
      <c r="E683">
        <f>IF($A683="","",XLOOKUP($A683,Returns!A:A,Returns!E:E))</f>
        <v/>
      </c>
      <c r="F683">
        <f>IF(OR($A683="",D683=0),"",C683/D683*E683)</f>
        <v/>
      </c>
      <c r="G683">
        <f>IF($A683="","",C683+F683)</f>
        <v/>
      </c>
      <c r="H683">
        <f>IF($A683="","",SUMIFS(Contributions!E:E,Contributions!C:C,$B683,Contributions!F:F,"Reinvest",Contributions!G:G,$A683))</f>
        <v/>
      </c>
      <c r="I683">
        <f>IF($A683="","",G683-H683)</f>
        <v/>
      </c>
    </row>
    <row r="684">
      <c r="C684">
        <f>IF($A684="","",SUMIFS(Contributions!E:E,Contributions!B:B,$A684,Contributions!C:C,$B684))</f>
        <v/>
      </c>
      <c r="D684">
        <f>IF($A684="","",SUMIFS(Contributions!E:E,Contributions!B:B,$A684))</f>
        <v/>
      </c>
      <c r="E684">
        <f>IF($A684="","",XLOOKUP($A684,Returns!A:A,Returns!E:E))</f>
        <v/>
      </c>
      <c r="F684">
        <f>IF(OR($A684="",D684=0),"",C684/D684*E684)</f>
        <v/>
      </c>
      <c r="G684">
        <f>IF($A684="","",C684+F684)</f>
        <v/>
      </c>
      <c r="H684">
        <f>IF($A684="","",SUMIFS(Contributions!E:E,Contributions!C:C,$B684,Contributions!F:F,"Reinvest",Contributions!G:G,$A684))</f>
        <v/>
      </c>
      <c r="I684">
        <f>IF($A684="","",G684-H684)</f>
        <v/>
      </c>
    </row>
    <row r="685">
      <c r="C685">
        <f>IF($A685="","",SUMIFS(Contributions!E:E,Contributions!B:B,$A685,Contributions!C:C,$B685))</f>
        <v/>
      </c>
      <c r="D685">
        <f>IF($A685="","",SUMIFS(Contributions!E:E,Contributions!B:B,$A685))</f>
        <v/>
      </c>
      <c r="E685">
        <f>IF($A685="","",XLOOKUP($A685,Returns!A:A,Returns!E:E))</f>
        <v/>
      </c>
      <c r="F685">
        <f>IF(OR($A685="",D685=0),"",C685/D685*E685)</f>
        <v/>
      </c>
      <c r="G685">
        <f>IF($A685="","",C685+F685)</f>
        <v/>
      </c>
      <c r="H685">
        <f>IF($A685="","",SUMIFS(Contributions!E:E,Contributions!C:C,$B685,Contributions!F:F,"Reinvest",Contributions!G:G,$A685))</f>
        <v/>
      </c>
      <c r="I685">
        <f>IF($A685="","",G685-H685)</f>
        <v/>
      </c>
    </row>
    <row r="686">
      <c r="C686">
        <f>IF($A686="","",SUMIFS(Contributions!E:E,Contributions!B:B,$A686,Contributions!C:C,$B686))</f>
        <v/>
      </c>
      <c r="D686">
        <f>IF($A686="","",SUMIFS(Contributions!E:E,Contributions!B:B,$A686))</f>
        <v/>
      </c>
      <c r="E686">
        <f>IF($A686="","",XLOOKUP($A686,Returns!A:A,Returns!E:E))</f>
        <v/>
      </c>
      <c r="F686">
        <f>IF(OR($A686="",D686=0),"",C686/D686*E686)</f>
        <v/>
      </c>
      <c r="G686">
        <f>IF($A686="","",C686+F686)</f>
        <v/>
      </c>
      <c r="H686">
        <f>IF($A686="","",SUMIFS(Contributions!E:E,Contributions!C:C,$B686,Contributions!F:F,"Reinvest",Contributions!G:G,$A686))</f>
        <v/>
      </c>
      <c r="I686">
        <f>IF($A686="","",G686-H686)</f>
        <v/>
      </c>
    </row>
    <row r="687">
      <c r="C687">
        <f>IF($A687="","",SUMIFS(Contributions!E:E,Contributions!B:B,$A687,Contributions!C:C,$B687))</f>
        <v/>
      </c>
      <c r="D687">
        <f>IF($A687="","",SUMIFS(Contributions!E:E,Contributions!B:B,$A687))</f>
        <v/>
      </c>
      <c r="E687">
        <f>IF($A687="","",XLOOKUP($A687,Returns!A:A,Returns!E:E))</f>
        <v/>
      </c>
      <c r="F687">
        <f>IF(OR($A687="",D687=0),"",C687/D687*E687)</f>
        <v/>
      </c>
      <c r="G687">
        <f>IF($A687="","",C687+F687)</f>
        <v/>
      </c>
      <c r="H687">
        <f>IF($A687="","",SUMIFS(Contributions!E:E,Contributions!C:C,$B687,Contributions!F:F,"Reinvest",Contributions!G:G,$A687))</f>
        <v/>
      </c>
      <c r="I687">
        <f>IF($A687="","",G687-H687)</f>
        <v/>
      </c>
    </row>
    <row r="688">
      <c r="C688">
        <f>IF($A688="","",SUMIFS(Contributions!E:E,Contributions!B:B,$A688,Contributions!C:C,$B688))</f>
        <v/>
      </c>
      <c r="D688">
        <f>IF($A688="","",SUMIFS(Contributions!E:E,Contributions!B:B,$A688))</f>
        <v/>
      </c>
      <c r="E688">
        <f>IF($A688="","",XLOOKUP($A688,Returns!A:A,Returns!E:E))</f>
        <v/>
      </c>
      <c r="F688">
        <f>IF(OR($A688="",D688=0),"",C688/D688*E688)</f>
        <v/>
      </c>
      <c r="G688">
        <f>IF($A688="","",C688+F688)</f>
        <v/>
      </c>
      <c r="H688">
        <f>IF($A688="","",SUMIFS(Contributions!E:E,Contributions!C:C,$B688,Contributions!F:F,"Reinvest",Contributions!G:G,$A688))</f>
        <v/>
      </c>
      <c r="I688">
        <f>IF($A688="","",G688-H688)</f>
        <v/>
      </c>
    </row>
    <row r="689">
      <c r="C689">
        <f>IF($A689="","",SUMIFS(Contributions!E:E,Contributions!B:B,$A689,Contributions!C:C,$B689))</f>
        <v/>
      </c>
      <c r="D689">
        <f>IF($A689="","",SUMIFS(Contributions!E:E,Contributions!B:B,$A689))</f>
        <v/>
      </c>
      <c r="E689">
        <f>IF($A689="","",XLOOKUP($A689,Returns!A:A,Returns!E:E))</f>
        <v/>
      </c>
      <c r="F689">
        <f>IF(OR($A689="",D689=0),"",C689/D689*E689)</f>
        <v/>
      </c>
      <c r="G689">
        <f>IF($A689="","",C689+F689)</f>
        <v/>
      </c>
      <c r="H689">
        <f>IF($A689="","",SUMIFS(Contributions!E:E,Contributions!C:C,$B689,Contributions!F:F,"Reinvest",Contributions!G:G,$A689))</f>
        <v/>
      </c>
      <c r="I689">
        <f>IF($A689="","",G689-H689)</f>
        <v/>
      </c>
    </row>
    <row r="690">
      <c r="C690">
        <f>IF($A690="","",SUMIFS(Contributions!E:E,Contributions!B:B,$A690,Contributions!C:C,$B690))</f>
        <v/>
      </c>
      <c r="D690">
        <f>IF($A690="","",SUMIFS(Contributions!E:E,Contributions!B:B,$A690))</f>
        <v/>
      </c>
      <c r="E690">
        <f>IF($A690="","",XLOOKUP($A690,Returns!A:A,Returns!E:E))</f>
        <v/>
      </c>
      <c r="F690">
        <f>IF(OR($A690="",D690=0),"",C690/D690*E690)</f>
        <v/>
      </c>
      <c r="G690">
        <f>IF($A690="","",C690+F690)</f>
        <v/>
      </c>
      <c r="H690">
        <f>IF($A690="","",SUMIFS(Contributions!E:E,Contributions!C:C,$B690,Contributions!F:F,"Reinvest",Contributions!G:G,$A690))</f>
        <v/>
      </c>
      <c r="I690">
        <f>IF($A690="","",G690-H690)</f>
        <v/>
      </c>
    </row>
    <row r="691">
      <c r="C691">
        <f>IF($A691="","",SUMIFS(Contributions!E:E,Contributions!B:B,$A691,Contributions!C:C,$B691))</f>
        <v/>
      </c>
      <c r="D691">
        <f>IF($A691="","",SUMIFS(Contributions!E:E,Contributions!B:B,$A691))</f>
        <v/>
      </c>
      <c r="E691">
        <f>IF($A691="","",XLOOKUP($A691,Returns!A:A,Returns!E:E))</f>
        <v/>
      </c>
      <c r="F691">
        <f>IF(OR($A691="",D691=0),"",C691/D691*E691)</f>
        <v/>
      </c>
      <c r="G691">
        <f>IF($A691="","",C691+F691)</f>
        <v/>
      </c>
      <c r="H691">
        <f>IF($A691="","",SUMIFS(Contributions!E:E,Contributions!C:C,$B691,Contributions!F:F,"Reinvest",Contributions!G:G,$A691))</f>
        <v/>
      </c>
      <c r="I691">
        <f>IF($A691="","",G691-H691)</f>
        <v/>
      </c>
    </row>
    <row r="692">
      <c r="C692">
        <f>IF($A692="","",SUMIFS(Contributions!E:E,Contributions!B:B,$A692,Contributions!C:C,$B692))</f>
        <v/>
      </c>
      <c r="D692">
        <f>IF($A692="","",SUMIFS(Contributions!E:E,Contributions!B:B,$A692))</f>
        <v/>
      </c>
      <c r="E692">
        <f>IF($A692="","",XLOOKUP($A692,Returns!A:A,Returns!E:E))</f>
        <v/>
      </c>
      <c r="F692">
        <f>IF(OR($A692="",D692=0),"",C692/D692*E692)</f>
        <v/>
      </c>
      <c r="G692">
        <f>IF($A692="","",C692+F692)</f>
        <v/>
      </c>
      <c r="H692">
        <f>IF($A692="","",SUMIFS(Contributions!E:E,Contributions!C:C,$B692,Contributions!F:F,"Reinvest",Contributions!G:G,$A692))</f>
        <v/>
      </c>
      <c r="I692">
        <f>IF($A692="","",G692-H692)</f>
        <v/>
      </c>
    </row>
    <row r="693">
      <c r="C693">
        <f>IF($A693="","",SUMIFS(Contributions!E:E,Contributions!B:B,$A693,Contributions!C:C,$B693))</f>
        <v/>
      </c>
      <c r="D693">
        <f>IF($A693="","",SUMIFS(Contributions!E:E,Contributions!B:B,$A693))</f>
        <v/>
      </c>
      <c r="E693">
        <f>IF($A693="","",XLOOKUP($A693,Returns!A:A,Returns!E:E))</f>
        <v/>
      </c>
      <c r="F693">
        <f>IF(OR($A693="",D693=0),"",C693/D693*E693)</f>
        <v/>
      </c>
      <c r="G693">
        <f>IF($A693="","",C693+F693)</f>
        <v/>
      </c>
      <c r="H693">
        <f>IF($A693="","",SUMIFS(Contributions!E:E,Contributions!C:C,$B693,Contributions!F:F,"Reinvest",Contributions!G:G,$A693))</f>
        <v/>
      </c>
      <c r="I693">
        <f>IF($A693="","",G693-H693)</f>
        <v/>
      </c>
    </row>
    <row r="694">
      <c r="C694">
        <f>IF($A694="","",SUMIFS(Contributions!E:E,Contributions!B:B,$A694,Contributions!C:C,$B694))</f>
        <v/>
      </c>
      <c r="D694">
        <f>IF($A694="","",SUMIFS(Contributions!E:E,Contributions!B:B,$A694))</f>
        <v/>
      </c>
      <c r="E694">
        <f>IF($A694="","",XLOOKUP($A694,Returns!A:A,Returns!E:E))</f>
        <v/>
      </c>
      <c r="F694">
        <f>IF(OR($A694="",D694=0),"",C694/D694*E694)</f>
        <v/>
      </c>
      <c r="G694">
        <f>IF($A694="","",C694+F694)</f>
        <v/>
      </c>
      <c r="H694">
        <f>IF($A694="","",SUMIFS(Contributions!E:E,Contributions!C:C,$B694,Contributions!F:F,"Reinvest",Contributions!G:G,$A694))</f>
        <v/>
      </c>
      <c r="I694">
        <f>IF($A694="","",G694-H694)</f>
        <v/>
      </c>
    </row>
    <row r="695">
      <c r="C695">
        <f>IF($A695="","",SUMIFS(Contributions!E:E,Contributions!B:B,$A695,Contributions!C:C,$B695))</f>
        <v/>
      </c>
      <c r="D695">
        <f>IF($A695="","",SUMIFS(Contributions!E:E,Contributions!B:B,$A695))</f>
        <v/>
      </c>
      <c r="E695">
        <f>IF($A695="","",XLOOKUP($A695,Returns!A:A,Returns!E:E))</f>
        <v/>
      </c>
      <c r="F695">
        <f>IF(OR($A695="",D695=0),"",C695/D695*E695)</f>
        <v/>
      </c>
      <c r="G695">
        <f>IF($A695="","",C695+F695)</f>
        <v/>
      </c>
      <c r="H695">
        <f>IF($A695="","",SUMIFS(Contributions!E:E,Contributions!C:C,$B695,Contributions!F:F,"Reinvest",Contributions!G:G,$A695))</f>
        <v/>
      </c>
      <c r="I695">
        <f>IF($A695="","",G695-H695)</f>
        <v/>
      </c>
    </row>
    <row r="696">
      <c r="C696">
        <f>IF($A696="","",SUMIFS(Contributions!E:E,Contributions!B:B,$A696,Contributions!C:C,$B696))</f>
        <v/>
      </c>
      <c r="D696">
        <f>IF($A696="","",SUMIFS(Contributions!E:E,Contributions!B:B,$A696))</f>
        <v/>
      </c>
      <c r="E696">
        <f>IF($A696="","",XLOOKUP($A696,Returns!A:A,Returns!E:E))</f>
        <v/>
      </c>
      <c r="F696">
        <f>IF(OR($A696="",D696=0),"",C696/D696*E696)</f>
        <v/>
      </c>
      <c r="G696">
        <f>IF($A696="","",C696+F696)</f>
        <v/>
      </c>
      <c r="H696">
        <f>IF($A696="","",SUMIFS(Contributions!E:E,Contributions!C:C,$B696,Contributions!F:F,"Reinvest",Contributions!G:G,$A696))</f>
        <v/>
      </c>
      <c r="I696">
        <f>IF($A696="","",G696-H696)</f>
        <v/>
      </c>
    </row>
    <row r="697">
      <c r="C697">
        <f>IF($A697="","",SUMIFS(Contributions!E:E,Contributions!B:B,$A697,Contributions!C:C,$B697))</f>
        <v/>
      </c>
      <c r="D697">
        <f>IF($A697="","",SUMIFS(Contributions!E:E,Contributions!B:B,$A697))</f>
        <v/>
      </c>
      <c r="E697">
        <f>IF($A697="","",XLOOKUP($A697,Returns!A:A,Returns!E:E))</f>
        <v/>
      </c>
      <c r="F697">
        <f>IF(OR($A697="",D697=0),"",C697/D697*E697)</f>
        <v/>
      </c>
      <c r="G697">
        <f>IF($A697="","",C697+F697)</f>
        <v/>
      </c>
      <c r="H697">
        <f>IF($A697="","",SUMIFS(Contributions!E:E,Contributions!C:C,$B697,Contributions!F:F,"Reinvest",Contributions!G:G,$A697))</f>
        <v/>
      </c>
      <c r="I697">
        <f>IF($A697="","",G697-H697)</f>
        <v/>
      </c>
    </row>
    <row r="698">
      <c r="C698">
        <f>IF($A698="","",SUMIFS(Contributions!E:E,Contributions!B:B,$A698,Contributions!C:C,$B698))</f>
        <v/>
      </c>
      <c r="D698">
        <f>IF($A698="","",SUMIFS(Contributions!E:E,Contributions!B:B,$A698))</f>
        <v/>
      </c>
      <c r="E698">
        <f>IF($A698="","",XLOOKUP($A698,Returns!A:A,Returns!E:E))</f>
        <v/>
      </c>
      <c r="F698">
        <f>IF(OR($A698="",D698=0),"",C698/D698*E698)</f>
        <v/>
      </c>
      <c r="G698">
        <f>IF($A698="","",C698+F698)</f>
        <v/>
      </c>
      <c r="H698">
        <f>IF($A698="","",SUMIFS(Contributions!E:E,Contributions!C:C,$B698,Contributions!F:F,"Reinvest",Contributions!G:G,$A698))</f>
        <v/>
      </c>
      <c r="I698">
        <f>IF($A698="","",G698-H698)</f>
        <v/>
      </c>
    </row>
    <row r="699">
      <c r="C699">
        <f>IF($A699="","",SUMIFS(Contributions!E:E,Contributions!B:B,$A699,Contributions!C:C,$B699))</f>
        <v/>
      </c>
      <c r="D699">
        <f>IF($A699="","",SUMIFS(Contributions!E:E,Contributions!B:B,$A699))</f>
        <v/>
      </c>
      <c r="E699">
        <f>IF($A699="","",XLOOKUP($A699,Returns!A:A,Returns!E:E))</f>
        <v/>
      </c>
      <c r="F699">
        <f>IF(OR($A699="",D699=0),"",C699/D699*E699)</f>
        <v/>
      </c>
      <c r="G699">
        <f>IF($A699="","",C699+F699)</f>
        <v/>
      </c>
      <c r="H699">
        <f>IF($A699="","",SUMIFS(Contributions!E:E,Contributions!C:C,$B699,Contributions!F:F,"Reinvest",Contributions!G:G,$A699))</f>
        <v/>
      </c>
      <c r="I699">
        <f>IF($A699="","",G699-H699)</f>
        <v/>
      </c>
    </row>
    <row r="700">
      <c r="C700">
        <f>IF($A700="","",SUMIFS(Contributions!E:E,Contributions!B:B,$A700,Contributions!C:C,$B700))</f>
        <v/>
      </c>
      <c r="D700">
        <f>IF($A700="","",SUMIFS(Contributions!E:E,Contributions!B:B,$A700))</f>
        <v/>
      </c>
      <c r="E700">
        <f>IF($A700="","",XLOOKUP($A700,Returns!A:A,Returns!E:E))</f>
        <v/>
      </c>
      <c r="F700">
        <f>IF(OR($A700="",D700=0),"",C700/D700*E700)</f>
        <v/>
      </c>
      <c r="G700">
        <f>IF($A700="","",C700+F700)</f>
        <v/>
      </c>
      <c r="H700">
        <f>IF($A700="","",SUMIFS(Contributions!E:E,Contributions!C:C,$B700,Contributions!F:F,"Reinvest",Contributions!G:G,$A700))</f>
        <v/>
      </c>
      <c r="I700">
        <f>IF($A700="","",G700-H700)</f>
        <v/>
      </c>
    </row>
    <row r="701">
      <c r="C701">
        <f>IF($A701="","",SUMIFS(Contributions!E:E,Contributions!B:B,$A701,Contributions!C:C,$B701))</f>
        <v/>
      </c>
      <c r="D701">
        <f>IF($A701="","",SUMIFS(Contributions!E:E,Contributions!B:B,$A701))</f>
        <v/>
      </c>
      <c r="E701">
        <f>IF($A701="","",XLOOKUP($A701,Returns!A:A,Returns!E:E))</f>
        <v/>
      </c>
      <c r="F701">
        <f>IF(OR($A701="",D701=0),"",C701/D701*E701)</f>
        <v/>
      </c>
      <c r="G701">
        <f>IF($A701="","",C701+F701)</f>
        <v/>
      </c>
      <c r="H701">
        <f>IF($A701="","",SUMIFS(Contributions!E:E,Contributions!C:C,$B701,Contributions!F:F,"Reinvest",Contributions!G:G,$A701))</f>
        <v/>
      </c>
      <c r="I701">
        <f>IF($A701="","",G701-H701)</f>
        <v/>
      </c>
    </row>
    <row r="702">
      <c r="C702">
        <f>IF($A702="","",SUMIFS(Contributions!E:E,Contributions!B:B,$A702,Contributions!C:C,$B702))</f>
        <v/>
      </c>
      <c r="D702">
        <f>IF($A702="","",SUMIFS(Contributions!E:E,Contributions!B:B,$A702))</f>
        <v/>
      </c>
      <c r="E702">
        <f>IF($A702="","",XLOOKUP($A702,Returns!A:A,Returns!E:E))</f>
        <v/>
      </c>
      <c r="F702">
        <f>IF(OR($A702="",D702=0),"",C702/D702*E702)</f>
        <v/>
      </c>
      <c r="G702">
        <f>IF($A702="","",C702+F702)</f>
        <v/>
      </c>
      <c r="H702">
        <f>IF($A702="","",SUMIFS(Contributions!E:E,Contributions!C:C,$B702,Contributions!F:F,"Reinvest",Contributions!G:G,$A702))</f>
        <v/>
      </c>
      <c r="I702">
        <f>IF($A702="","",G702-H702)</f>
        <v/>
      </c>
    </row>
    <row r="703">
      <c r="C703">
        <f>IF($A703="","",SUMIFS(Contributions!E:E,Contributions!B:B,$A703,Contributions!C:C,$B703))</f>
        <v/>
      </c>
      <c r="D703">
        <f>IF($A703="","",SUMIFS(Contributions!E:E,Contributions!B:B,$A703))</f>
        <v/>
      </c>
      <c r="E703">
        <f>IF($A703="","",XLOOKUP($A703,Returns!A:A,Returns!E:E))</f>
        <v/>
      </c>
      <c r="F703">
        <f>IF(OR($A703="",D703=0),"",C703/D703*E703)</f>
        <v/>
      </c>
      <c r="G703">
        <f>IF($A703="","",C703+F703)</f>
        <v/>
      </c>
      <c r="H703">
        <f>IF($A703="","",SUMIFS(Contributions!E:E,Contributions!C:C,$B703,Contributions!F:F,"Reinvest",Contributions!G:G,$A703))</f>
        <v/>
      </c>
      <c r="I703">
        <f>IF($A703="","",G703-H703)</f>
        <v/>
      </c>
    </row>
    <row r="704">
      <c r="C704">
        <f>IF($A704="","",SUMIFS(Contributions!E:E,Contributions!B:B,$A704,Contributions!C:C,$B704))</f>
        <v/>
      </c>
      <c r="D704">
        <f>IF($A704="","",SUMIFS(Contributions!E:E,Contributions!B:B,$A704))</f>
        <v/>
      </c>
      <c r="E704">
        <f>IF($A704="","",XLOOKUP($A704,Returns!A:A,Returns!E:E))</f>
        <v/>
      </c>
      <c r="F704">
        <f>IF(OR($A704="",D704=0),"",C704/D704*E704)</f>
        <v/>
      </c>
      <c r="G704">
        <f>IF($A704="","",C704+F704)</f>
        <v/>
      </c>
      <c r="H704">
        <f>IF($A704="","",SUMIFS(Contributions!E:E,Contributions!C:C,$B704,Contributions!F:F,"Reinvest",Contributions!G:G,$A704))</f>
        <v/>
      </c>
      <c r="I704">
        <f>IF($A704="","",G704-H704)</f>
        <v/>
      </c>
    </row>
    <row r="705">
      <c r="C705">
        <f>IF($A705="","",SUMIFS(Contributions!E:E,Contributions!B:B,$A705,Contributions!C:C,$B705))</f>
        <v/>
      </c>
      <c r="D705">
        <f>IF($A705="","",SUMIFS(Contributions!E:E,Contributions!B:B,$A705))</f>
        <v/>
      </c>
      <c r="E705">
        <f>IF($A705="","",XLOOKUP($A705,Returns!A:A,Returns!E:E))</f>
        <v/>
      </c>
      <c r="F705">
        <f>IF(OR($A705="",D705=0),"",C705/D705*E705)</f>
        <v/>
      </c>
      <c r="G705">
        <f>IF($A705="","",C705+F705)</f>
        <v/>
      </c>
      <c r="H705">
        <f>IF($A705="","",SUMIFS(Contributions!E:E,Contributions!C:C,$B705,Contributions!F:F,"Reinvest",Contributions!G:G,$A705))</f>
        <v/>
      </c>
      <c r="I705">
        <f>IF($A705="","",G705-H705)</f>
        <v/>
      </c>
    </row>
    <row r="706">
      <c r="C706">
        <f>IF($A706="","",SUMIFS(Contributions!E:E,Contributions!B:B,$A706,Contributions!C:C,$B706))</f>
        <v/>
      </c>
      <c r="D706">
        <f>IF($A706="","",SUMIFS(Contributions!E:E,Contributions!B:B,$A706))</f>
        <v/>
      </c>
      <c r="E706">
        <f>IF($A706="","",XLOOKUP($A706,Returns!A:A,Returns!E:E))</f>
        <v/>
      </c>
      <c r="F706">
        <f>IF(OR($A706="",D706=0),"",C706/D706*E706)</f>
        <v/>
      </c>
      <c r="G706">
        <f>IF($A706="","",C706+F706)</f>
        <v/>
      </c>
      <c r="H706">
        <f>IF($A706="","",SUMIFS(Contributions!E:E,Contributions!C:C,$B706,Contributions!F:F,"Reinvest",Contributions!G:G,$A706))</f>
        <v/>
      </c>
      <c r="I706">
        <f>IF($A706="","",G706-H706)</f>
        <v/>
      </c>
    </row>
    <row r="707">
      <c r="C707">
        <f>IF($A707="","",SUMIFS(Contributions!E:E,Contributions!B:B,$A707,Contributions!C:C,$B707))</f>
        <v/>
      </c>
      <c r="D707">
        <f>IF($A707="","",SUMIFS(Contributions!E:E,Contributions!B:B,$A707))</f>
        <v/>
      </c>
      <c r="E707">
        <f>IF($A707="","",XLOOKUP($A707,Returns!A:A,Returns!E:E))</f>
        <v/>
      </c>
      <c r="F707">
        <f>IF(OR($A707="",D707=0),"",C707/D707*E707)</f>
        <v/>
      </c>
      <c r="G707">
        <f>IF($A707="","",C707+F707)</f>
        <v/>
      </c>
      <c r="H707">
        <f>IF($A707="","",SUMIFS(Contributions!E:E,Contributions!C:C,$B707,Contributions!F:F,"Reinvest",Contributions!G:G,$A707))</f>
        <v/>
      </c>
      <c r="I707">
        <f>IF($A707="","",G707-H707)</f>
        <v/>
      </c>
    </row>
    <row r="708">
      <c r="C708">
        <f>IF($A708="","",SUMIFS(Contributions!E:E,Contributions!B:B,$A708,Contributions!C:C,$B708))</f>
        <v/>
      </c>
      <c r="D708">
        <f>IF($A708="","",SUMIFS(Contributions!E:E,Contributions!B:B,$A708))</f>
        <v/>
      </c>
      <c r="E708">
        <f>IF($A708="","",XLOOKUP($A708,Returns!A:A,Returns!E:E))</f>
        <v/>
      </c>
      <c r="F708">
        <f>IF(OR($A708="",D708=0),"",C708/D708*E708)</f>
        <v/>
      </c>
      <c r="G708">
        <f>IF($A708="","",C708+F708)</f>
        <v/>
      </c>
      <c r="H708">
        <f>IF($A708="","",SUMIFS(Contributions!E:E,Contributions!C:C,$B708,Contributions!F:F,"Reinvest",Contributions!G:G,$A708))</f>
        <v/>
      </c>
      <c r="I708">
        <f>IF($A708="","",G708-H708)</f>
        <v/>
      </c>
    </row>
    <row r="709">
      <c r="C709">
        <f>IF($A709="","",SUMIFS(Contributions!E:E,Contributions!B:B,$A709,Contributions!C:C,$B709))</f>
        <v/>
      </c>
      <c r="D709">
        <f>IF($A709="","",SUMIFS(Contributions!E:E,Contributions!B:B,$A709))</f>
        <v/>
      </c>
      <c r="E709">
        <f>IF($A709="","",XLOOKUP($A709,Returns!A:A,Returns!E:E))</f>
        <v/>
      </c>
      <c r="F709">
        <f>IF(OR($A709="",D709=0),"",C709/D709*E709)</f>
        <v/>
      </c>
      <c r="G709">
        <f>IF($A709="","",C709+F709)</f>
        <v/>
      </c>
      <c r="H709">
        <f>IF($A709="","",SUMIFS(Contributions!E:E,Contributions!C:C,$B709,Contributions!F:F,"Reinvest",Contributions!G:G,$A709))</f>
        <v/>
      </c>
      <c r="I709">
        <f>IF($A709="","",G709-H709)</f>
        <v/>
      </c>
    </row>
    <row r="710">
      <c r="C710">
        <f>IF($A710="","",SUMIFS(Contributions!E:E,Contributions!B:B,$A710,Contributions!C:C,$B710))</f>
        <v/>
      </c>
      <c r="D710">
        <f>IF($A710="","",SUMIFS(Contributions!E:E,Contributions!B:B,$A710))</f>
        <v/>
      </c>
      <c r="E710">
        <f>IF($A710="","",XLOOKUP($A710,Returns!A:A,Returns!E:E))</f>
        <v/>
      </c>
      <c r="F710">
        <f>IF(OR($A710="",D710=0),"",C710/D710*E710)</f>
        <v/>
      </c>
      <c r="G710">
        <f>IF($A710="","",C710+F710)</f>
        <v/>
      </c>
      <c r="H710">
        <f>IF($A710="","",SUMIFS(Contributions!E:E,Contributions!C:C,$B710,Contributions!F:F,"Reinvest",Contributions!G:G,$A710))</f>
        <v/>
      </c>
      <c r="I710">
        <f>IF($A710="","",G710-H710)</f>
        <v/>
      </c>
    </row>
    <row r="711">
      <c r="C711">
        <f>IF($A711="","",SUMIFS(Contributions!E:E,Contributions!B:B,$A711,Contributions!C:C,$B711))</f>
        <v/>
      </c>
      <c r="D711">
        <f>IF($A711="","",SUMIFS(Contributions!E:E,Contributions!B:B,$A711))</f>
        <v/>
      </c>
      <c r="E711">
        <f>IF($A711="","",XLOOKUP($A711,Returns!A:A,Returns!E:E))</f>
        <v/>
      </c>
      <c r="F711">
        <f>IF(OR($A711="",D711=0),"",C711/D711*E711)</f>
        <v/>
      </c>
      <c r="G711">
        <f>IF($A711="","",C711+F711)</f>
        <v/>
      </c>
      <c r="H711">
        <f>IF($A711="","",SUMIFS(Contributions!E:E,Contributions!C:C,$B711,Contributions!F:F,"Reinvest",Contributions!G:G,$A711))</f>
        <v/>
      </c>
      <c r="I711">
        <f>IF($A711="","",G711-H711)</f>
        <v/>
      </c>
    </row>
    <row r="712">
      <c r="C712">
        <f>IF($A712="","",SUMIFS(Contributions!E:E,Contributions!B:B,$A712,Contributions!C:C,$B712))</f>
        <v/>
      </c>
      <c r="D712">
        <f>IF($A712="","",SUMIFS(Contributions!E:E,Contributions!B:B,$A712))</f>
        <v/>
      </c>
      <c r="E712">
        <f>IF($A712="","",XLOOKUP($A712,Returns!A:A,Returns!E:E))</f>
        <v/>
      </c>
      <c r="F712">
        <f>IF(OR($A712="",D712=0),"",C712/D712*E712)</f>
        <v/>
      </c>
      <c r="G712">
        <f>IF($A712="","",C712+F712)</f>
        <v/>
      </c>
      <c r="H712">
        <f>IF($A712="","",SUMIFS(Contributions!E:E,Contributions!C:C,$B712,Contributions!F:F,"Reinvest",Contributions!G:G,$A712))</f>
        <v/>
      </c>
      <c r="I712">
        <f>IF($A712="","",G712-H712)</f>
        <v/>
      </c>
    </row>
    <row r="713">
      <c r="C713">
        <f>IF($A713="","",SUMIFS(Contributions!E:E,Contributions!B:B,$A713,Contributions!C:C,$B713))</f>
        <v/>
      </c>
      <c r="D713">
        <f>IF($A713="","",SUMIFS(Contributions!E:E,Contributions!B:B,$A713))</f>
        <v/>
      </c>
      <c r="E713">
        <f>IF($A713="","",XLOOKUP($A713,Returns!A:A,Returns!E:E))</f>
        <v/>
      </c>
      <c r="F713">
        <f>IF(OR($A713="",D713=0),"",C713/D713*E713)</f>
        <v/>
      </c>
      <c r="G713">
        <f>IF($A713="","",C713+F713)</f>
        <v/>
      </c>
      <c r="H713">
        <f>IF($A713="","",SUMIFS(Contributions!E:E,Contributions!C:C,$B713,Contributions!F:F,"Reinvest",Contributions!G:G,$A713))</f>
        <v/>
      </c>
      <c r="I713">
        <f>IF($A713="","",G713-H713)</f>
        <v/>
      </c>
    </row>
    <row r="714">
      <c r="C714">
        <f>IF($A714="","",SUMIFS(Contributions!E:E,Contributions!B:B,$A714,Contributions!C:C,$B714))</f>
        <v/>
      </c>
      <c r="D714">
        <f>IF($A714="","",SUMIFS(Contributions!E:E,Contributions!B:B,$A714))</f>
        <v/>
      </c>
      <c r="E714">
        <f>IF($A714="","",XLOOKUP($A714,Returns!A:A,Returns!E:E))</f>
        <v/>
      </c>
      <c r="F714">
        <f>IF(OR($A714="",D714=0),"",C714/D714*E714)</f>
        <v/>
      </c>
      <c r="G714">
        <f>IF($A714="","",C714+F714)</f>
        <v/>
      </c>
      <c r="H714">
        <f>IF($A714="","",SUMIFS(Contributions!E:E,Contributions!C:C,$B714,Contributions!F:F,"Reinvest",Contributions!G:G,$A714))</f>
        <v/>
      </c>
      <c r="I714">
        <f>IF($A714="","",G714-H714)</f>
        <v/>
      </c>
    </row>
    <row r="715">
      <c r="C715">
        <f>IF($A715="","",SUMIFS(Contributions!E:E,Contributions!B:B,$A715,Contributions!C:C,$B715))</f>
        <v/>
      </c>
      <c r="D715">
        <f>IF($A715="","",SUMIFS(Contributions!E:E,Contributions!B:B,$A715))</f>
        <v/>
      </c>
      <c r="E715">
        <f>IF($A715="","",XLOOKUP($A715,Returns!A:A,Returns!E:E))</f>
        <v/>
      </c>
      <c r="F715">
        <f>IF(OR($A715="",D715=0),"",C715/D715*E715)</f>
        <v/>
      </c>
      <c r="G715">
        <f>IF($A715="","",C715+F715)</f>
        <v/>
      </c>
      <c r="H715">
        <f>IF($A715="","",SUMIFS(Contributions!E:E,Contributions!C:C,$B715,Contributions!F:F,"Reinvest",Contributions!G:G,$A715))</f>
        <v/>
      </c>
      <c r="I715">
        <f>IF($A715="","",G715-H715)</f>
        <v/>
      </c>
    </row>
    <row r="716">
      <c r="C716">
        <f>IF($A716="","",SUMIFS(Contributions!E:E,Contributions!B:B,$A716,Contributions!C:C,$B716))</f>
        <v/>
      </c>
      <c r="D716">
        <f>IF($A716="","",SUMIFS(Contributions!E:E,Contributions!B:B,$A716))</f>
        <v/>
      </c>
      <c r="E716">
        <f>IF($A716="","",XLOOKUP($A716,Returns!A:A,Returns!E:E))</f>
        <v/>
      </c>
      <c r="F716">
        <f>IF(OR($A716="",D716=0),"",C716/D716*E716)</f>
        <v/>
      </c>
      <c r="G716">
        <f>IF($A716="","",C716+F716)</f>
        <v/>
      </c>
      <c r="H716">
        <f>IF($A716="","",SUMIFS(Contributions!E:E,Contributions!C:C,$B716,Contributions!F:F,"Reinvest",Contributions!G:G,$A716))</f>
        <v/>
      </c>
      <c r="I716">
        <f>IF($A716="","",G716-H716)</f>
        <v/>
      </c>
    </row>
    <row r="717">
      <c r="C717">
        <f>IF($A717="","",SUMIFS(Contributions!E:E,Contributions!B:B,$A717,Contributions!C:C,$B717))</f>
        <v/>
      </c>
      <c r="D717">
        <f>IF($A717="","",SUMIFS(Contributions!E:E,Contributions!B:B,$A717))</f>
        <v/>
      </c>
      <c r="E717">
        <f>IF($A717="","",XLOOKUP($A717,Returns!A:A,Returns!E:E))</f>
        <v/>
      </c>
      <c r="F717">
        <f>IF(OR($A717="",D717=0),"",C717/D717*E717)</f>
        <v/>
      </c>
      <c r="G717">
        <f>IF($A717="","",C717+F717)</f>
        <v/>
      </c>
      <c r="H717">
        <f>IF($A717="","",SUMIFS(Contributions!E:E,Contributions!C:C,$B717,Contributions!F:F,"Reinvest",Contributions!G:G,$A717))</f>
        <v/>
      </c>
      <c r="I717">
        <f>IF($A717="","",G717-H717)</f>
        <v/>
      </c>
    </row>
    <row r="718">
      <c r="C718">
        <f>IF($A718="","",SUMIFS(Contributions!E:E,Contributions!B:B,$A718,Contributions!C:C,$B718))</f>
        <v/>
      </c>
      <c r="D718">
        <f>IF($A718="","",SUMIFS(Contributions!E:E,Contributions!B:B,$A718))</f>
        <v/>
      </c>
      <c r="E718">
        <f>IF($A718="","",XLOOKUP($A718,Returns!A:A,Returns!E:E))</f>
        <v/>
      </c>
      <c r="F718">
        <f>IF(OR($A718="",D718=0),"",C718/D718*E718)</f>
        <v/>
      </c>
      <c r="G718">
        <f>IF($A718="","",C718+F718)</f>
        <v/>
      </c>
      <c r="H718">
        <f>IF($A718="","",SUMIFS(Contributions!E:E,Contributions!C:C,$B718,Contributions!F:F,"Reinvest",Contributions!G:G,$A718))</f>
        <v/>
      </c>
      <c r="I718">
        <f>IF($A718="","",G718-H718)</f>
        <v/>
      </c>
    </row>
    <row r="719">
      <c r="C719">
        <f>IF($A719="","",SUMIFS(Contributions!E:E,Contributions!B:B,$A719,Contributions!C:C,$B719))</f>
        <v/>
      </c>
      <c r="D719">
        <f>IF($A719="","",SUMIFS(Contributions!E:E,Contributions!B:B,$A719))</f>
        <v/>
      </c>
      <c r="E719">
        <f>IF($A719="","",XLOOKUP($A719,Returns!A:A,Returns!E:E))</f>
        <v/>
      </c>
      <c r="F719">
        <f>IF(OR($A719="",D719=0),"",C719/D719*E719)</f>
        <v/>
      </c>
      <c r="G719">
        <f>IF($A719="","",C719+F719)</f>
        <v/>
      </c>
      <c r="H719">
        <f>IF($A719="","",SUMIFS(Contributions!E:E,Contributions!C:C,$B719,Contributions!F:F,"Reinvest",Contributions!G:G,$A719))</f>
        <v/>
      </c>
      <c r="I719">
        <f>IF($A719="","",G719-H719)</f>
        <v/>
      </c>
    </row>
    <row r="720">
      <c r="C720">
        <f>IF($A720="","",SUMIFS(Contributions!E:E,Contributions!B:B,$A720,Contributions!C:C,$B720))</f>
        <v/>
      </c>
      <c r="D720">
        <f>IF($A720="","",SUMIFS(Contributions!E:E,Contributions!B:B,$A720))</f>
        <v/>
      </c>
      <c r="E720">
        <f>IF($A720="","",XLOOKUP($A720,Returns!A:A,Returns!E:E))</f>
        <v/>
      </c>
      <c r="F720">
        <f>IF(OR($A720="",D720=0),"",C720/D720*E720)</f>
        <v/>
      </c>
      <c r="G720">
        <f>IF($A720="","",C720+F720)</f>
        <v/>
      </c>
      <c r="H720">
        <f>IF($A720="","",SUMIFS(Contributions!E:E,Contributions!C:C,$B720,Contributions!F:F,"Reinvest",Contributions!G:G,$A720))</f>
        <v/>
      </c>
      <c r="I720">
        <f>IF($A720="","",G720-H720)</f>
        <v/>
      </c>
    </row>
    <row r="721">
      <c r="C721">
        <f>IF($A721="","",SUMIFS(Contributions!E:E,Contributions!B:B,$A721,Contributions!C:C,$B721))</f>
        <v/>
      </c>
      <c r="D721">
        <f>IF($A721="","",SUMIFS(Contributions!E:E,Contributions!B:B,$A721))</f>
        <v/>
      </c>
      <c r="E721">
        <f>IF($A721="","",XLOOKUP($A721,Returns!A:A,Returns!E:E))</f>
        <v/>
      </c>
      <c r="F721">
        <f>IF(OR($A721="",D721=0),"",C721/D721*E721)</f>
        <v/>
      </c>
      <c r="G721">
        <f>IF($A721="","",C721+F721)</f>
        <v/>
      </c>
      <c r="H721">
        <f>IF($A721="","",SUMIFS(Contributions!E:E,Contributions!C:C,$B721,Contributions!F:F,"Reinvest",Contributions!G:G,$A721))</f>
        <v/>
      </c>
      <c r="I721">
        <f>IF($A721="","",G721-H721)</f>
        <v/>
      </c>
    </row>
    <row r="722">
      <c r="C722">
        <f>IF($A722="","",SUMIFS(Contributions!E:E,Contributions!B:B,$A722,Contributions!C:C,$B722))</f>
        <v/>
      </c>
      <c r="D722">
        <f>IF($A722="","",SUMIFS(Contributions!E:E,Contributions!B:B,$A722))</f>
        <v/>
      </c>
      <c r="E722">
        <f>IF($A722="","",XLOOKUP($A722,Returns!A:A,Returns!E:E))</f>
        <v/>
      </c>
      <c r="F722">
        <f>IF(OR($A722="",D722=0),"",C722/D722*E722)</f>
        <v/>
      </c>
      <c r="G722">
        <f>IF($A722="","",C722+F722)</f>
        <v/>
      </c>
      <c r="H722">
        <f>IF($A722="","",SUMIFS(Contributions!E:E,Contributions!C:C,$B722,Contributions!F:F,"Reinvest",Contributions!G:G,$A722))</f>
        <v/>
      </c>
      <c r="I722">
        <f>IF($A722="","",G722-H722)</f>
        <v/>
      </c>
    </row>
    <row r="723">
      <c r="C723">
        <f>IF($A723="","",SUMIFS(Contributions!E:E,Contributions!B:B,$A723,Contributions!C:C,$B723))</f>
        <v/>
      </c>
      <c r="D723">
        <f>IF($A723="","",SUMIFS(Contributions!E:E,Contributions!B:B,$A723))</f>
        <v/>
      </c>
      <c r="E723">
        <f>IF($A723="","",XLOOKUP($A723,Returns!A:A,Returns!E:E))</f>
        <v/>
      </c>
      <c r="F723">
        <f>IF(OR($A723="",D723=0),"",C723/D723*E723)</f>
        <v/>
      </c>
      <c r="G723">
        <f>IF($A723="","",C723+F723)</f>
        <v/>
      </c>
      <c r="H723">
        <f>IF($A723="","",SUMIFS(Contributions!E:E,Contributions!C:C,$B723,Contributions!F:F,"Reinvest",Contributions!G:G,$A723))</f>
        <v/>
      </c>
      <c r="I723">
        <f>IF($A723="","",G723-H723)</f>
        <v/>
      </c>
    </row>
    <row r="724">
      <c r="C724">
        <f>IF($A724="","",SUMIFS(Contributions!E:E,Contributions!B:B,$A724,Contributions!C:C,$B724))</f>
        <v/>
      </c>
      <c r="D724">
        <f>IF($A724="","",SUMIFS(Contributions!E:E,Contributions!B:B,$A724))</f>
        <v/>
      </c>
      <c r="E724">
        <f>IF($A724="","",XLOOKUP($A724,Returns!A:A,Returns!E:E))</f>
        <v/>
      </c>
      <c r="F724">
        <f>IF(OR($A724="",D724=0),"",C724/D724*E724)</f>
        <v/>
      </c>
      <c r="G724">
        <f>IF($A724="","",C724+F724)</f>
        <v/>
      </c>
      <c r="H724">
        <f>IF($A724="","",SUMIFS(Contributions!E:E,Contributions!C:C,$B724,Contributions!F:F,"Reinvest",Contributions!G:G,$A724))</f>
        <v/>
      </c>
      <c r="I724">
        <f>IF($A724="","",G724-H724)</f>
        <v/>
      </c>
    </row>
    <row r="725">
      <c r="C725">
        <f>IF($A725="","",SUMIFS(Contributions!E:E,Contributions!B:B,$A725,Contributions!C:C,$B725))</f>
        <v/>
      </c>
      <c r="D725">
        <f>IF($A725="","",SUMIFS(Contributions!E:E,Contributions!B:B,$A725))</f>
        <v/>
      </c>
      <c r="E725">
        <f>IF($A725="","",XLOOKUP($A725,Returns!A:A,Returns!E:E))</f>
        <v/>
      </c>
      <c r="F725">
        <f>IF(OR($A725="",D725=0),"",C725/D725*E725)</f>
        <v/>
      </c>
      <c r="G725">
        <f>IF($A725="","",C725+F725)</f>
        <v/>
      </c>
      <c r="H725">
        <f>IF($A725="","",SUMIFS(Contributions!E:E,Contributions!C:C,$B725,Contributions!F:F,"Reinvest",Contributions!G:G,$A725))</f>
        <v/>
      </c>
      <c r="I725">
        <f>IF($A725="","",G725-H725)</f>
        <v/>
      </c>
    </row>
    <row r="726">
      <c r="C726">
        <f>IF($A726="","",SUMIFS(Contributions!E:E,Contributions!B:B,$A726,Contributions!C:C,$B726))</f>
        <v/>
      </c>
      <c r="D726">
        <f>IF($A726="","",SUMIFS(Contributions!E:E,Contributions!B:B,$A726))</f>
        <v/>
      </c>
      <c r="E726">
        <f>IF($A726="","",XLOOKUP($A726,Returns!A:A,Returns!E:E))</f>
        <v/>
      </c>
      <c r="F726">
        <f>IF(OR($A726="",D726=0),"",C726/D726*E726)</f>
        <v/>
      </c>
      <c r="G726">
        <f>IF($A726="","",C726+F726)</f>
        <v/>
      </c>
      <c r="H726">
        <f>IF($A726="","",SUMIFS(Contributions!E:E,Contributions!C:C,$B726,Contributions!F:F,"Reinvest",Contributions!G:G,$A726))</f>
        <v/>
      </c>
      <c r="I726">
        <f>IF($A726="","",G726-H726)</f>
        <v/>
      </c>
    </row>
    <row r="727">
      <c r="C727">
        <f>IF($A727="","",SUMIFS(Contributions!E:E,Contributions!B:B,$A727,Contributions!C:C,$B727))</f>
        <v/>
      </c>
      <c r="D727">
        <f>IF($A727="","",SUMIFS(Contributions!E:E,Contributions!B:B,$A727))</f>
        <v/>
      </c>
      <c r="E727">
        <f>IF($A727="","",XLOOKUP($A727,Returns!A:A,Returns!E:E))</f>
        <v/>
      </c>
      <c r="F727">
        <f>IF(OR($A727="",D727=0),"",C727/D727*E727)</f>
        <v/>
      </c>
      <c r="G727">
        <f>IF($A727="","",C727+F727)</f>
        <v/>
      </c>
      <c r="H727">
        <f>IF($A727="","",SUMIFS(Contributions!E:E,Contributions!C:C,$B727,Contributions!F:F,"Reinvest",Contributions!G:G,$A727))</f>
        <v/>
      </c>
      <c r="I727">
        <f>IF($A727="","",G727-H727)</f>
        <v/>
      </c>
    </row>
    <row r="728">
      <c r="C728">
        <f>IF($A728="","",SUMIFS(Contributions!E:E,Contributions!B:B,$A728,Contributions!C:C,$B728))</f>
        <v/>
      </c>
      <c r="D728">
        <f>IF($A728="","",SUMIFS(Contributions!E:E,Contributions!B:B,$A728))</f>
        <v/>
      </c>
      <c r="E728">
        <f>IF($A728="","",XLOOKUP($A728,Returns!A:A,Returns!E:E))</f>
        <v/>
      </c>
      <c r="F728">
        <f>IF(OR($A728="",D728=0),"",C728/D728*E728)</f>
        <v/>
      </c>
      <c r="G728">
        <f>IF($A728="","",C728+F728)</f>
        <v/>
      </c>
      <c r="H728">
        <f>IF($A728="","",SUMIFS(Contributions!E:E,Contributions!C:C,$B728,Contributions!F:F,"Reinvest",Contributions!G:G,$A728))</f>
        <v/>
      </c>
      <c r="I728">
        <f>IF($A728="","",G728-H728)</f>
        <v/>
      </c>
    </row>
    <row r="729">
      <c r="C729">
        <f>IF($A729="","",SUMIFS(Contributions!E:E,Contributions!B:B,$A729,Contributions!C:C,$B729))</f>
        <v/>
      </c>
      <c r="D729">
        <f>IF($A729="","",SUMIFS(Contributions!E:E,Contributions!B:B,$A729))</f>
        <v/>
      </c>
      <c r="E729">
        <f>IF($A729="","",XLOOKUP($A729,Returns!A:A,Returns!E:E))</f>
        <v/>
      </c>
      <c r="F729">
        <f>IF(OR($A729="",D729=0),"",C729/D729*E729)</f>
        <v/>
      </c>
      <c r="G729">
        <f>IF($A729="","",C729+F729)</f>
        <v/>
      </c>
      <c r="H729">
        <f>IF($A729="","",SUMIFS(Contributions!E:E,Contributions!C:C,$B729,Contributions!F:F,"Reinvest",Contributions!G:G,$A729))</f>
        <v/>
      </c>
      <c r="I729">
        <f>IF($A729="","",G729-H729)</f>
        <v/>
      </c>
    </row>
    <row r="730">
      <c r="C730">
        <f>IF($A730="","",SUMIFS(Contributions!E:E,Contributions!B:B,$A730,Contributions!C:C,$B730))</f>
        <v/>
      </c>
      <c r="D730">
        <f>IF($A730="","",SUMIFS(Contributions!E:E,Contributions!B:B,$A730))</f>
        <v/>
      </c>
      <c r="E730">
        <f>IF($A730="","",XLOOKUP($A730,Returns!A:A,Returns!E:E))</f>
        <v/>
      </c>
      <c r="F730">
        <f>IF(OR($A730="",D730=0),"",C730/D730*E730)</f>
        <v/>
      </c>
      <c r="G730">
        <f>IF($A730="","",C730+F730)</f>
        <v/>
      </c>
      <c r="H730">
        <f>IF($A730="","",SUMIFS(Contributions!E:E,Contributions!C:C,$B730,Contributions!F:F,"Reinvest",Contributions!G:G,$A730))</f>
        <v/>
      </c>
      <c r="I730">
        <f>IF($A730="","",G730-H730)</f>
        <v/>
      </c>
    </row>
    <row r="731">
      <c r="C731">
        <f>IF($A731="","",SUMIFS(Contributions!E:E,Contributions!B:B,$A731,Contributions!C:C,$B731))</f>
        <v/>
      </c>
      <c r="D731">
        <f>IF($A731="","",SUMIFS(Contributions!E:E,Contributions!B:B,$A731))</f>
        <v/>
      </c>
      <c r="E731">
        <f>IF($A731="","",XLOOKUP($A731,Returns!A:A,Returns!E:E))</f>
        <v/>
      </c>
      <c r="F731">
        <f>IF(OR($A731="",D731=0),"",C731/D731*E731)</f>
        <v/>
      </c>
      <c r="G731">
        <f>IF($A731="","",C731+F731)</f>
        <v/>
      </c>
      <c r="H731">
        <f>IF($A731="","",SUMIFS(Contributions!E:E,Contributions!C:C,$B731,Contributions!F:F,"Reinvest",Contributions!G:G,$A731))</f>
        <v/>
      </c>
      <c r="I731">
        <f>IF($A731="","",G731-H731)</f>
        <v/>
      </c>
    </row>
    <row r="732">
      <c r="C732">
        <f>IF($A732="","",SUMIFS(Contributions!E:E,Contributions!B:B,$A732,Contributions!C:C,$B732))</f>
        <v/>
      </c>
      <c r="D732">
        <f>IF($A732="","",SUMIFS(Contributions!E:E,Contributions!B:B,$A732))</f>
        <v/>
      </c>
      <c r="E732">
        <f>IF($A732="","",XLOOKUP($A732,Returns!A:A,Returns!E:E))</f>
        <v/>
      </c>
      <c r="F732">
        <f>IF(OR($A732="",D732=0),"",C732/D732*E732)</f>
        <v/>
      </c>
      <c r="G732">
        <f>IF($A732="","",C732+F732)</f>
        <v/>
      </c>
      <c r="H732">
        <f>IF($A732="","",SUMIFS(Contributions!E:E,Contributions!C:C,$B732,Contributions!F:F,"Reinvest",Contributions!G:G,$A732))</f>
        <v/>
      </c>
      <c r="I732">
        <f>IF($A732="","",G732-H732)</f>
        <v/>
      </c>
    </row>
    <row r="733">
      <c r="C733">
        <f>IF($A733="","",SUMIFS(Contributions!E:E,Contributions!B:B,$A733,Contributions!C:C,$B733))</f>
        <v/>
      </c>
      <c r="D733">
        <f>IF($A733="","",SUMIFS(Contributions!E:E,Contributions!B:B,$A733))</f>
        <v/>
      </c>
      <c r="E733">
        <f>IF($A733="","",XLOOKUP($A733,Returns!A:A,Returns!E:E))</f>
        <v/>
      </c>
      <c r="F733">
        <f>IF(OR($A733="",D733=0),"",C733/D733*E733)</f>
        <v/>
      </c>
      <c r="G733">
        <f>IF($A733="","",C733+F733)</f>
        <v/>
      </c>
      <c r="H733">
        <f>IF($A733="","",SUMIFS(Contributions!E:E,Contributions!C:C,$B733,Contributions!F:F,"Reinvest",Contributions!G:G,$A733))</f>
        <v/>
      </c>
      <c r="I733">
        <f>IF($A733="","",G733-H733)</f>
        <v/>
      </c>
    </row>
    <row r="734">
      <c r="C734">
        <f>IF($A734="","",SUMIFS(Contributions!E:E,Contributions!B:B,$A734,Contributions!C:C,$B734))</f>
        <v/>
      </c>
      <c r="D734">
        <f>IF($A734="","",SUMIFS(Contributions!E:E,Contributions!B:B,$A734))</f>
        <v/>
      </c>
      <c r="E734">
        <f>IF($A734="","",XLOOKUP($A734,Returns!A:A,Returns!E:E))</f>
        <v/>
      </c>
      <c r="F734">
        <f>IF(OR($A734="",D734=0),"",C734/D734*E734)</f>
        <v/>
      </c>
      <c r="G734">
        <f>IF($A734="","",C734+F734)</f>
        <v/>
      </c>
      <c r="H734">
        <f>IF($A734="","",SUMIFS(Contributions!E:E,Contributions!C:C,$B734,Contributions!F:F,"Reinvest",Contributions!G:G,$A734))</f>
        <v/>
      </c>
      <c r="I734">
        <f>IF($A734="","",G734-H734)</f>
        <v/>
      </c>
    </row>
    <row r="735">
      <c r="C735">
        <f>IF($A735="","",SUMIFS(Contributions!E:E,Contributions!B:B,$A735,Contributions!C:C,$B735))</f>
        <v/>
      </c>
      <c r="D735">
        <f>IF($A735="","",SUMIFS(Contributions!E:E,Contributions!B:B,$A735))</f>
        <v/>
      </c>
      <c r="E735">
        <f>IF($A735="","",XLOOKUP($A735,Returns!A:A,Returns!E:E))</f>
        <v/>
      </c>
      <c r="F735">
        <f>IF(OR($A735="",D735=0),"",C735/D735*E735)</f>
        <v/>
      </c>
      <c r="G735">
        <f>IF($A735="","",C735+F735)</f>
        <v/>
      </c>
      <c r="H735">
        <f>IF($A735="","",SUMIFS(Contributions!E:E,Contributions!C:C,$B735,Contributions!F:F,"Reinvest",Contributions!G:G,$A735))</f>
        <v/>
      </c>
      <c r="I735">
        <f>IF($A735="","",G735-H735)</f>
        <v/>
      </c>
    </row>
    <row r="736">
      <c r="C736">
        <f>IF($A736="","",SUMIFS(Contributions!E:E,Contributions!B:B,$A736,Contributions!C:C,$B736))</f>
        <v/>
      </c>
      <c r="D736">
        <f>IF($A736="","",SUMIFS(Contributions!E:E,Contributions!B:B,$A736))</f>
        <v/>
      </c>
      <c r="E736">
        <f>IF($A736="","",XLOOKUP($A736,Returns!A:A,Returns!E:E))</f>
        <v/>
      </c>
      <c r="F736">
        <f>IF(OR($A736="",D736=0),"",C736/D736*E736)</f>
        <v/>
      </c>
      <c r="G736">
        <f>IF($A736="","",C736+F736)</f>
        <v/>
      </c>
      <c r="H736">
        <f>IF($A736="","",SUMIFS(Contributions!E:E,Contributions!C:C,$B736,Contributions!F:F,"Reinvest",Contributions!G:G,$A736))</f>
        <v/>
      </c>
      <c r="I736">
        <f>IF($A736="","",G736-H736)</f>
        <v/>
      </c>
    </row>
    <row r="737">
      <c r="C737">
        <f>IF($A737="","",SUMIFS(Contributions!E:E,Contributions!B:B,$A737,Contributions!C:C,$B737))</f>
        <v/>
      </c>
      <c r="D737">
        <f>IF($A737="","",SUMIFS(Contributions!E:E,Contributions!B:B,$A737))</f>
        <v/>
      </c>
      <c r="E737">
        <f>IF($A737="","",XLOOKUP($A737,Returns!A:A,Returns!E:E))</f>
        <v/>
      </c>
      <c r="F737">
        <f>IF(OR($A737="",D737=0),"",C737/D737*E737)</f>
        <v/>
      </c>
      <c r="G737">
        <f>IF($A737="","",C737+F737)</f>
        <v/>
      </c>
      <c r="H737">
        <f>IF($A737="","",SUMIFS(Contributions!E:E,Contributions!C:C,$B737,Contributions!F:F,"Reinvest",Contributions!G:G,$A737))</f>
        <v/>
      </c>
      <c r="I737">
        <f>IF($A737="","",G737-H737)</f>
        <v/>
      </c>
    </row>
    <row r="738">
      <c r="C738">
        <f>IF($A738="","",SUMIFS(Contributions!E:E,Contributions!B:B,$A738,Contributions!C:C,$B738))</f>
        <v/>
      </c>
      <c r="D738">
        <f>IF($A738="","",SUMIFS(Contributions!E:E,Contributions!B:B,$A738))</f>
        <v/>
      </c>
      <c r="E738">
        <f>IF($A738="","",XLOOKUP($A738,Returns!A:A,Returns!E:E))</f>
        <v/>
      </c>
      <c r="F738">
        <f>IF(OR($A738="",D738=0),"",C738/D738*E738)</f>
        <v/>
      </c>
      <c r="G738">
        <f>IF($A738="","",C738+F738)</f>
        <v/>
      </c>
      <c r="H738">
        <f>IF($A738="","",SUMIFS(Contributions!E:E,Contributions!C:C,$B738,Contributions!F:F,"Reinvest",Contributions!G:G,$A738))</f>
        <v/>
      </c>
      <c r="I738">
        <f>IF($A738="","",G738-H738)</f>
        <v/>
      </c>
    </row>
    <row r="739">
      <c r="C739">
        <f>IF($A739="","",SUMIFS(Contributions!E:E,Contributions!B:B,$A739,Contributions!C:C,$B739))</f>
        <v/>
      </c>
      <c r="D739">
        <f>IF($A739="","",SUMIFS(Contributions!E:E,Contributions!B:B,$A739))</f>
        <v/>
      </c>
      <c r="E739">
        <f>IF($A739="","",XLOOKUP($A739,Returns!A:A,Returns!E:E))</f>
        <v/>
      </c>
      <c r="F739">
        <f>IF(OR($A739="",D739=0),"",C739/D739*E739)</f>
        <v/>
      </c>
      <c r="G739">
        <f>IF($A739="","",C739+F739)</f>
        <v/>
      </c>
      <c r="H739">
        <f>IF($A739="","",SUMIFS(Contributions!E:E,Contributions!C:C,$B739,Contributions!F:F,"Reinvest",Contributions!G:G,$A739))</f>
        <v/>
      </c>
      <c r="I739">
        <f>IF($A739="","",G739-H739)</f>
        <v/>
      </c>
    </row>
    <row r="740">
      <c r="C740">
        <f>IF($A740="","",SUMIFS(Contributions!E:E,Contributions!B:B,$A740,Contributions!C:C,$B740))</f>
        <v/>
      </c>
      <c r="D740">
        <f>IF($A740="","",SUMIFS(Contributions!E:E,Contributions!B:B,$A740))</f>
        <v/>
      </c>
      <c r="E740">
        <f>IF($A740="","",XLOOKUP($A740,Returns!A:A,Returns!E:E))</f>
        <v/>
      </c>
      <c r="F740">
        <f>IF(OR($A740="",D740=0),"",C740/D740*E740)</f>
        <v/>
      </c>
      <c r="G740">
        <f>IF($A740="","",C740+F740)</f>
        <v/>
      </c>
      <c r="H740">
        <f>IF($A740="","",SUMIFS(Contributions!E:E,Contributions!C:C,$B740,Contributions!F:F,"Reinvest",Contributions!G:G,$A740))</f>
        <v/>
      </c>
      <c r="I740">
        <f>IF($A740="","",G740-H740)</f>
        <v/>
      </c>
    </row>
    <row r="741">
      <c r="C741">
        <f>IF($A741="","",SUMIFS(Contributions!E:E,Contributions!B:B,$A741,Contributions!C:C,$B741))</f>
        <v/>
      </c>
      <c r="D741">
        <f>IF($A741="","",SUMIFS(Contributions!E:E,Contributions!B:B,$A741))</f>
        <v/>
      </c>
      <c r="E741">
        <f>IF($A741="","",XLOOKUP($A741,Returns!A:A,Returns!E:E))</f>
        <v/>
      </c>
      <c r="F741">
        <f>IF(OR($A741="",D741=0),"",C741/D741*E741)</f>
        <v/>
      </c>
      <c r="G741">
        <f>IF($A741="","",C741+F741)</f>
        <v/>
      </c>
      <c r="H741">
        <f>IF($A741="","",SUMIFS(Contributions!E:E,Contributions!C:C,$B741,Contributions!F:F,"Reinvest",Contributions!G:G,$A741))</f>
        <v/>
      </c>
      <c r="I741">
        <f>IF($A741="","",G741-H741)</f>
        <v/>
      </c>
    </row>
    <row r="742">
      <c r="C742">
        <f>IF($A742="","",SUMIFS(Contributions!E:E,Contributions!B:B,$A742,Contributions!C:C,$B742))</f>
        <v/>
      </c>
      <c r="D742">
        <f>IF($A742="","",SUMIFS(Contributions!E:E,Contributions!B:B,$A742))</f>
        <v/>
      </c>
      <c r="E742">
        <f>IF($A742="","",XLOOKUP($A742,Returns!A:A,Returns!E:E))</f>
        <v/>
      </c>
      <c r="F742">
        <f>IF(OR($A742="",D742=0),"",C742/D742*E742)</f>
        <v/>
      </c>
      <c r="G742">
        <f>IF($A742="","",C742+F742)</f>
        <v/>
      </c>
      <c r="H742">
        <f>IF($A742="","",SUMIFS(Contributions!E:E,Contributions!C:C,$B742,Contributions!F:F,"Reinvest",Contributions!G:G,$A742))</f>
        <v/>
      </c>
      <c r="I742">
        <f>IF($A742="","",G742-H742)</f>
        <v/>
      </c>
    </row>
    <row r="743">
      <c r="C743">
        <f>IF($A743="","",SUMIFS(Contributions!E:E,Contributions!B:B,$A743,Contributions!C:C,$B743))</f>
        <v/>
      </c>
      <c r="D743">
        <f>IF($A743="","",SUMIFS(Contributions!E:E,Contributions!B:B,$A743))</f>
        <v/>
      </c>
      <c r="E743">
        <f>IF($A743="","",XLOOKUP($A743,Returns!A:A,Returns!E:E))</f>
        <v/>
      </c>
      <c r="F743">
        <f>IF(OR($A743="",D743=0),"",C743/D743*E743)</f>
        <v/>
      </c>
      <c r="G743">
        <f>IF($A743="","",C743+F743)</f>
        <v/>
      </c>
      <c r="H743">
        <f>IF($A743="","",SUMIFS(Contributions!E:E,Contributions!C:C,$B743,Contributions!F:F,"Reinvest",Contributions!G:G,$A743))</f>
        <v/>
      </c>
      <c r="I743">
        <f>IF($A743="","",G743-H743)</f>
        <v/>
      </c>
    </row>
    <row r="744">
      <c r="C744">
        <f>IF($A744="","",SUMIFS(Contributions!E:E,Contributions!B:B,$A744,Contributions!C:C,$B744))</f>
        <v/>
      </c>
      <c r="D744">
        <f>IF($A744="","",SUMIFS(Contributions!E:E,Contributions!B:B,$A744))</f>
        <v/>
      </c>
      <c r="E744">
        <f>IF($A744="","",XLOOKUP($A744,Returns!A:A,Returns!E:E))</f>
        <v/>
      </c>
      <c r="F744">
        <f>IF(OR($A744="",D744=0),"",C744/D744*E744)</f>
        <v/>
      </c>
      <c r="G744">
        <f>IF($A744="","",C744+F744)</f>
        <v/>
      </c>
      <c r="H744">
        <f>IF($A744="","",SUMIFS(Contributions!E:E,Contributions!C:C,$B744,Contributions!F:F,"Reinvest",Contributions!G:G,$A744))</f>
        <v/>
      </c>
      <c r="I744">
        <f>IF($A744="","",G744-H744)</f>
        <v/>
      </c>
    </row>
    <row r="745">
      <c r="C745">
        <f>IF($A745="","",SUMIFS(Contributions!E:E,Contributions!B:B,$A745,Contributions!C:C,$B745))</f>
        <v/>
      </c>
      <c r="D745">
        <f>IF($A745="","",SUMIFS(Contributions!E:E,Contributions!B:B,$A745))</f>
        <v/>
      </c>
      <c r="E745">
        <f>IF($A745="","",XLOOKUP($A745,Returns!A:A,Returns!E:E))</f>
        <v/>
      </c>
      <c r="F745">
        <f>IF(OR($A745="",D745=0),"",C745/D745*E745)</f>
        <v/>
      </c>
      <c r="G745">
        <f>IF($A745="","",C745+F745)</f>
        <v/>
      </c>
      <c r="H745">
        <f>IF($A745="","",SUMIFS(Contributions!E:E,Contributions!C:C,$B745,Contributions!F:F,"Reinvest",Contributions!G:G,$A745))</f>
        <v/>
      </c>
      <c r="I745">
        <f>IF($A745="","",G745-H745)</f>
        <v/>
      </c>
    </row>
    <row r="746">
      <c r="C746">
        <f>IF($A746="","",SUMIFS(Contributions!E:E,Contributions!B:B,$A746,Contributions!C:C,$B746))</f>
        <v/>
      </c>
      <c r="D746">
        <f>IF($A746="","",SUMIFS(Contributions!E:E,Contributions!B:B,$A746))</f>
        <v/>
      </c>
      <c r="E746">
        <f>IF($A746="","",XLOOKUP($A746,Returns!A:A,Returns!E:E))</f>
        <v/>
      </c>
      <c r="F746">
        <f>IF(OR($A746="",D746=0),"",C746/D746*E746)</f>
        <v/>
      </c>
      <c r="G746">
        <f>IF($A746="","",C746+F746)</f>
        <v/>
      </c>
      <c r="H746">
        <f>IF($A746="","",SUMIFS(Contributions!E:E,Contributions!C:C,$B746,Contributions!F:F,"Reinvest",Contributions!G:G,$A746))</f>
        <v/>
      </c>
      <c r="I746">
        <f>IF($A746="","",G746-H746)</f>
        <v/>
      </c>
    </row>
    <row r="747">
      <c r="C747">
        <f>IF($A747="","",SUMIFS(Contributions!E:E,Contributions!B:B,$A747,Contributions!C:C,$B747))</f>
        <v/>
      </c>
      <c r="D747">
        <f>IF($A747="","",SUMIFS(Contributions!E:E,Contributions!B:B,$A747))</f>
        <v/>
      </c>
      <c r="E747">
        <f>IF($A747="","",XLOOKUP($A747,Returns!A:A,Returns!E:E))</f>
        <v/>
      </c>
      <c r="F747">
        <f>IF(OR($A747="",D747=0),"",C747/D747*E747)</f>
        <v/>
      </c>
      <c r="G747">
        <f>IF($A747="","",C747+F747)</f>
        <v/>
      </c>
      <c r="H747">
        <f>IF($A747="","",SUMIFS(Contributions!E:E,Contributions!C:C,$B747,Contributions!F:F,"Reinvest",Contributions!G:G,$A747))</f>
        <v/>
      </c>
      <c r="I747">
        <f>IF($A747="","",G747-H747)</f>
        <v/>
      </c>
    </row>
    <row r="748">
      <c r="C748">
        <f>IF($A748="","",SUMIFS(Contributions!E:E,Contributions!B:B,$A748,Contributions!C:C,$B748))</f>
        <v/>
      </c>
      <c r="D748">
        <f>IF($A748="","",SUMIFS(Contributions!E:E,Contributions!B:B,$A748))</f>
        <v/>
      </c>
      <c r="E748">
        <f>IF($A748="","",XLOOKUP($A748,Returns!A:A,Returns!E:E))</f>
        <v/>
      </c>
      <c r="F748">
        <f>IF(OR($A748="",D748=0),"",C748/D748*E748)</f>
        <v/>
      </c>
      <c r="G748">
        <f>IF($A748="","",C748+F748)</f>
        <v/>
      </c>
      <c r="H748">
        <f>IF($A748="","",SUMIFS(Contributions!E:E,Contributions!C:C,$B748,Contributions!F:F,"Reinvest",Contributions!G:G,$A748))</f>
        <v/>
      </c>
      <c r="I748">
        <f>IF($A748="","",G748-H748)</f>
        <v/>
      </c>
    </row>
    <row r="749">
      <c r="C749">
        <f>IF($A749="","",SUMIFS(Contributions!E:E,Contributions!B:B,$A749,Contributions!C:C,$B749))</f>
        <v/>
      </c>
      <c r="D749">
        <f>IF($A749="","",SUMIFS(Contributions!E:E,Contributions!B:B,$A749))</f>
        <v/>
      </c>
      <c r="E749">
        <f>IF($A749="","",XLOOKUP($A749,Returns!A:A,Returns!E:E))</f>
        <v/>
      </c>
      <c r="F749">
        <f>IF(OR($A749="",D749=0),"",C749/D749*E749)</f>
        <v/>
      </c>
      <c r="G749">
        <f>IF($A749="","",C749+F749)</f>
        <v/>
      </c>
      <c r="H749">
        <f>IF($A749="","",SUMIFS(Contributions!E:E,Contributions!C:C,$B749,Contributions!F:F,"Reinvest",Contributions!G:G,$A749))</f>
        <v/>
      </c>
      <c r="I749">
        <f>IF($A749="","",G749-H749)</f>
        <v/>
      </c>
    </row>
    <row r="750">
      <c r="C750">
        <f>IF($A750="","",SUMIFS(Contributions!E:E,Contributions!B:B,$A750,Contributions!C:C,$B750))</f>
        <v/>
      </c>
      <c r="D750">
        <f>IF($A750="","",SUMIFS(Contributions!E:E,Contributions!B:B,$A750))</f>
        <v/>
      </c>
      <c r="E750">
        <f>IF($A750="","",XLOOKUP($A750,Returns!A:A,Returns!E:E))</f>
        <v/>
      </c>
      <c r="F750">
        <f>IF(OR($A750="",D750=0),"",C750/D750*E750)</f>
        <v/>
      </c>
      <c r="G750">
        <f>IF($A750="","",C750+F750)</f>
        <v/>
      </c>
      <c r="H750">
        <f>IF($A750="","",SUMIFS(Contributions!E:E,Contributions!C:C,$B750,Contributions!F:F,"Reinvest",Contributions!G:G,$A750))</f>
        <v/>
      </c>
      <c r="I750">
        <f>IF($A750="","",G750-H750)</f>
        <v/>
      </c>
    </row>
    <row r="751">
      <c r="C751">
        <f>IF($A751="","",SUMIFS(Contributions!E:E,Contributions!B:B,$A751,Contributions!C:C,$B751))</f>
        <v/>
      </c>
      <c r="D751">
        <f>IF($A751="","",SUMIFS(Contributions!E:E,Contributions!B:B,$A751))</f>
        <v/>
      </c>
      <c r="E751">
        <f>IF($A751="","",XLOOKUP($A751,Returns!A:A,Returns!E:E))</f>
        <v/>
      </c>
      <c r="F751">
        <f>IF(OR($A751="",D751=0),"",C751/D751*E751)</f>
        <v/>
      </c>
      <c r="G751">
        <f>IF($A751="","",C751+F751)</f>
        <v/>
      </c>
      <c r="H751">
        <f>IF($A751="","",SUMIFS(Contributions!E:E,Contributions!C:C,$B751,Contributions!F:F,"Reinvest",Contributions!G:G,$A751))</f>
        <v/>
      </c>
      <c r="I751">
        <f>IF($A751="","",G751-H751)</f>
        <v/>
      </c>
    </row>
    <row r="752">
      <c r="C752">
        <f>IF($A752="","",SUMIFS(Contributions!E:E,Contributions!B:B,$A752,Contributions!C:C,$B752))</f>
        <v/>
      </c>
      <c r="D752">
        <f>IF($A752="","",SUMIFS(Contributions!E:E,Contributions!B:B,$A752))</f>
        <v/>
      </c>
      <c r="E752">
        <f>IF($A752="","",XLOOKUP($A752,Returns!A:A,Returns!E:E))</f>
        <v/>
      </c>
      <c r="F752">
        <f>IF(OR($A752="",D752=0),"",C752/D752*E752)</f>
        <v/>
      </c>
      <c r="G752">
        <f>IF($A752="","",C752+F752)</f>
        <v/>
      </c>
      <c r="H752">
        <f>IF($A752="","",SUMIFS(Contributions!E:E,Contributions!C:C,$B752,Contributions!F:F,"Reinvest",Contributions!G:G,$A752))</f>
        <v/>
      </c>
      <c r="I752">
        <f>IF($A752="","",G752-H752)</f>
        <v/>
      </c>
    </row>
    <row r="753">
      <c r="C753">
        <f>IF($A753="","",SUMIFS(Contributions!E:E,Contributions!B:B,$A753,Contributions!C:C,$B753))</f>
        <v/>
      </c>
      <c r="D753">
        <f>IF($A753="","",SUMIFS(Contributions!E:E,Contributions!B:B,$A753))</f>
        <v/>
      </c>
      <c r="E753">
        <f>IF($A753="","",XLOOKUP($A753,Returns!A:A,Returns!E:E))</f>
        <v/>
      </c>
      <c r="F753">
        <f>IF(OR($A753="",D753=0),"",C753/D753*E753)</f>
        <v/>
      </c>
      <c r="G753">
        <f>IF($A753="","",C753+F753)</f>
        <v/>
      </c>
      <c r="H753">
        <f>IF($A753="","",SUMIFS(Contributions!E:E,Contributions!C:C,$B753,Contributions!F:F,"Reinvest",Contributions!G:G,$A753))</f>
        <v/>
      </c>
      <c r="I753">
        <f>IF($A753="","",G753-H753)</f>
        <v/>
      </c>
    </row>
    <row r="754">
      <c r="C754">
        <f>IF($A754="","",SUMIFS(Contributions!E:E,Contributions!B:B,$A754,Contributions!C:C,$B754))</f>
        <v/>
      </c>
      <c r="D754">
        <f>IF($A754="","",SUMIFS(Contributions!E:E,Contributions!B:B,$A754))</f>
        <v/>
      </c>
      <c r="E754">
        <f>IF($A754="","",XLOOKUP($A754,Returns!A:A,Returns!E:E))</f>
        <v/>
      </c>
      <c r="F754">
        <f>IF(OR($A754="",D754=0),"",C754/D754*E754)</f>
        <v/>
      </c>
      <c r="G754">
        <f>IF($A754="","",C754+F754)</f>
        <v/>
      </c>
      <c r="H754">
        <f>IF($A754="","",SUMIFS(Contributions!E:E,Contributions!C:C,$B754,Contributions!F:F,"Reinvest",Contributions!G:G,$A754))</f>
        <v/>
      </c>
      <c r="I754">
        <f>IF($A754="","",G754-H754)</f>
        <v/>
      </c>
    </row>
    <row r="755">
      <c r="C755">
        <f>IF($A755="","",SUMIFS(Contributions!E:E,Contributions!B:B,$A755,Contributions!C:C,$B755))</f>
        <v/>
      </c>
      <c r="D755">
        <f>IF($A755="","",SUMIFS(Contributions!E:E,Contributions!B:B,$A755))</f>
        <v/>
      </c>
      <c r="E755">
        <f>IF($A755="","",XLOOKUP($A755,Returns!A:A,Returns!E:E))</f>
        <v/>
      </c>
      <c r="F755">
        <f>IF(OR($A755="",D755=0),"",C755/D755*E755)</f>
        <v/>
      </c>
      <c r="G755">
        <f>IF($A755="","",C755+F755)</f>
        <v/>
      </c>
      <c r="H755">
        <f>IF($A755="","",SUMIFS(Contributions!E:E,Contributions!C:C,$B755,Contributions!F:F,"Reinvest",Contributions!G:G,$A755))</f>
        <v/>
      </c>
      <c r="I755">
        <f>IF($A755="","",G755-H755)</f>
        <v/>
      </c>
    </row>
    <row r="756">
      <c r="C756">
        <f>IF($A756="","",SUMIFS(Contributions!E:E,Contributions!B:B,$A756,Contributions!C:C,$B756))</f>
        <v/>
      </c>
      <c r="D756">
        <f>IF($A756="","",SUMIFS(Contributions!E:E,Contributions!B:B,$A756))</f>
        <v/>
      </c>
      <c r="E756">
        <f>IF($A756="","",XLOOKUP($A756,Returns!A:A,Returns!E:E))</f>
        <v/>
      </c>
      <c r="F756">
        <f>IF(OR($A756="",D756=0),"",C756/D756*E756)</f>
        <v/>
      </c>
      <c r="G756">
        <f>IF($A756="","",C756+F756)</f>
        <v/>
      </c>
      <c r="H756">
        <f>IF($A756="","",SUMIFS(Contributions!E:E,Contributions!C:C,$B756,Contributions!F:F,"Reinvest",Contributions!G:G,$A756))</f>
        <v/>
      </c>
      <c r="I756">
        <f>IF($A756="","",G756-H756)</f>
        <v/>
      </c>
    </row>
    <row r="757">
      <c r="C757">
        <f>IF($A757="","",SUMIFS(Contributions!E:E,Contributions!B:B,$A757,Contributions!C:C,$B757))</f>
        <v/>
      </c>
      <c r="D757">
        <f>IF($A757="","",SUMIFS(Contributions!E:E,Contributions!B:B,$A757))</f>
        <v/>
      </c>
      <c r="E757">
        <f>IF($A757="","",XLOOKUP($A757,Returns!A:A,Returns!E:E))</f>
        <v/>
      </c>
      <c r="F757">
        <f>IF(OR($A757="",D757=0),"",C757/D757*E757)</f>
        <v/>
      </c>
      <c r="G757">
        <f>IF($A757="","",C757+F757)</f>
        <v/>
      </c>
      <c r="H757">
        <f>IF($A757="","",SUMIFS(Contributions!E:E,Contributions!C:C,$B757,Contributions!F:F,"Reinvest",Contributions!G:G,$A757))</f>
        <v/>
      </c>
      <c r="I757">
        <f>IF($A757="","",G757-H757)</f>
        <v/>
      </c>
    </row>
    <row r="758">
      <c r="C758">
        <f>IF($A758="","",SUMIFS(Contributions!E:E,Contributions!B:B,$A758,Contributions!C:C,$B758))</f>
        <v/>
      </c>
      <c r="D758">
        <f>IF($A758="","",SUMIFS(Contributions!E:E,Contributions!B:B,$A758))</f>
        <v/>
      </c>
      <c r="E758">
        <f>IF($A758="","",XLOOKUP($A758,Returns!A:A,Returns!E:E))</f>
        <v/>
      </c>
      <c r="F758">
        <f>IF(OR($A758="",D758=0),"",C758/D758*E758)</f>
        <v/>
      </c>
      <c r="G758">
        <f>IF($A758="","",C758+F758)</f>
        <v/>
      </c>
      <c r="H758">
        <f>IF($A758="","",SUMIFS(Contributions!E:E,Contributions!C:C,$B758,Contributions!F:F,"Reinvest",Contributions!G:G,$A758))</f>
        <v/>
      </c>
      <c r="I758">
        <f>IF($A758="","",G758-H758)</f>
        <v/>
      </c>
    </row>
    <row r="759">
      <c r="C759">
        <f>IF($A759="","",SUMIFS(Contributions!E:E,Contributions!B:B,$A759,Contributions!C:C,$B759))</f>
        <v/>
      </c>
      <c r="D759">
        <f>IF($A759="","",SUMIFS(Contributions!E:E,Contributions!B:B,$A759))</f>
        <v/>
      </c>
      <c r="E759">
        <f>IF($A759="","",XLOOKUP($A759,Returns!A:A,Returns!E:E))</f>
        <v/>
      </c>
      <c r="F759">
        <f>IF(OR($A759="",D759=0),"",C759/D759*E759)</f>
        <v/>
      </c>
      <c r="G759">
        <f>IF($A759="","",C759+F759)</f>
        <v/>
      </c>
      <c r="H759">
        <f>IF($A759="","",SUMIFS(Contributions!E:E,Contributions!C:C,$B759,Contributions!F:F,"Reinvest",Contributions!G:G,$A759))</f>
        <v/>
      </c>
      <c r="I759">
        <f>IF($A759="","",G759-H759)</f>
        <v/>
      </c>
    </row>
    <row r="760">
      <c r="C760">
        <f>IF($A760="","",SUMIFS(Contributions!E:E,Contributions!B:B,$A760,Contributions!C:C,$B760))</f>
        <v/>
      </c>
      <c r="D760">
        <f>IF($A760="","",SUMIFS(Contributions!E:E,Contributions!B:B,$A760))</f>
        <v/>
      </c>
      <c r="E760">
        <f>IF($A760="","",XLOOKUP($A760,Returns!A:A,Returns!E:E))</f>
        <v/>
      </c>
      <c r="F760">
        <f>IF(OR($A760="",D760=0),"",C760/D760*E760)</f>
        <v/>
      </c>
      <c r="G760">
        <f>IF($A760="","",C760+F760)</f>
        <v/>
      </c>
      <c r="H760">
        <f>IF($A760="","",SUMIFS(Contributions!E:E,Contributions!C:C,$B760,Contributions!F:F,"Reinvest",Contributions!G:G,$A760))</f>
        <v/>
      </c>
      <c r="I760">
        <f>IF($A760="","",G760-H760)</f>
        <v/>
      </c>
    </row>
    <row r="761">
      <c r="C761">
        <f>IF($A761="","",SUMIFS(Contributions!E:E,Contributions!B:B,$A761,Contributions!C:C,$B761))</f>
        <v/>
      </c>
      <c r="D761">
        <f>IF($A761="","",SUMIFS(Contributions!E:E,Contributions!B:B,$A761))</f>
        <v/>
      </c>
      <c r="E761">
        <f>IF($A761="","",XLOOKUP($A761,Returns!A:A,Returns!E:E))</f>
        <v/>
      </c>
      <c r="F761">
        <f>IF(OR($A761="",D761=0),"",C761/D761*E761)</f>
        <v/>
      </c>
      <c r="G761">
        <f>IF($A761="","",C761+F761)</f>
        <v/>
      </c>
      <c r="H761">
        <f>IF($A761="","",SUMIFS(Contributions!E:E,Contributions!C:C,$B761,Contributions!F:F,"Reinvest",Contributions!G:G,$A761))</f>
        <v/>
      </c>
      <c r="I761">
        <f>IF($A761="","",G761-H761)</f>
        <v/>
      </c>
    </row>
    <row r="762">
      <c r="C762">
        <f>IF($A762="","",SUMIFS(Contributions!E:E,Contributions!B:B,$A762,Contributions!C:C,$B762))</f>
        <v/>
      </c>
      <c r="D762">
        <f>IF($A762="","",SUMIFS(Contributions!E:E,Contributions!B:B,$A762))</f>
        <v/>
      </c>
      <c r="E762">
        <f>IF($A762="","",XLOOKUP($A762,Returns!A:A,Returns!E:E))</f>
        <v/>
      </c>
      <c r="F762">
        <f>IF(OR($A762="",D762=0),"",C762/D762*E762)</f>
        <v/>
      </c>
      <c r="G762">
        <f>IF($A762="","",C762+F762)</f>
        <v/>
      </c>
      <c r="H762">
        <f>IF($A762="","",SUMIFS(Contributions!E:E,Contributions!C:C,$B762,Contributions!F:F,"Reinvest",Contributions!G:G,$A762))</f>
        <v/>
      </c>
      <c r="I762">
        <f>IF($A762="","",G762-H762)</f>
        <v/>
      </c>
    </row>
    <row r="763">
      <c r="C763">
        <f>IF($A763="","",SUMIFS(Contributions!E:E,Contributions!B:B,$A763,Contributions!C:C,$B763))</f>
        <v/>
      </c>
      <c r="D763">
        <f>IF($A763="","",SUMIFS(Contributions!E:E,Contributions!B:B,$A763))</f>
        <v/>
      </c>
      <c r="E763">
        <f>IF($A763="","",XLOOKUP($A763,Returns!A:A,Returns!E:E))</f>
        <v/>
      </c>
      <c r="F763">
        <f>IF(OR($A763="",D763=0),"",C763/D763*E763)</f>
        <v/>
      </c>
      <c r="G763">
        <f>IF($A763="","",C763+F763)</f>
        <v/>
      </c>
      <c r="H763">
        <f>IF($A763="","",SUMIFS(Contributions!E:E,Contributions!C:C,$B763,Contributions!F:F,"Reinvest",Contributions!G:G,$A763))</f>
        <v/>
      </c>
      <c r="I763">
        <f>IF($A763="","",G763-H763)</f>
        <v/>
      </c>
    </row>
    <row r="764">
      <c r="C764">
        <f>IF($A764="","",SUMIFS(Contributions!E:E,Contributions!B:B,$A764,Contributions!C:C,$B764))</f>
        <v/>
      </c>
      <c r="D764">
        <f>IF($A764="","",SUMIFS(Contributions!E:E,Contributions!B:B,$A764))</f>
        <v/>
      </c>
      <c r="E764">
        <f>IF($A764="","",XLOOKUP($A764,Returns!A:A,Returns!E:E))</f>
        <v/>
      </c>
      <c r="F764">
        <f>IF(OR($A764="",D764=0),"",C764/D764*E764)</f>
        <v/>
      </c>
      <c r="G764">
        <f>IF($A764="","",C764+F764)</f>
        <v/>
      </c>
      <c r="H764">
        <f>IF($A764="","",SUMIFS(Contributions!E:E,Contributions!C:C,$B764,Contributions!F:F,"Reinvest",Contributions!G:G,$A764))</f>
        <v/>
      </c>
      <c r="I764">
        <f>IF($A764="","",G764-H764)</f>
        <v/>
      </c>
    </row>
    <row r="765">
      <c r="C765">
        <f>IF($A765="","",SUMIFS(Contributions!E:E,Contributions!B:B,$A765,Contributions!C:C,$B765))</f>
        <v/>
      </c>
      <c r="D765">
        <f>IF($A765="","",SUMIFS(Contributions!E:E,Contributions!B:B,$A765))</f>
        <v/>
      </c>
      <c r="E765">
        <f>IF($A765="","",XLOOKUP($A765,Returns!A:A,Returns!E:E))</f>
        <v/>
      </c>
      <c r="F765">
        <f>IF(OR($A765="",D765=0),"",C765/D765*E765)</f>
        <v/>
      </c>
      <c r="G765">
        <f>IF($A765="","",C765+F765)</f>
        <v/>
      </c>
      <c r="H765">
        <f>IF($A765="","",SUMIFS(Contributions!E:E,Contributions!C:C,$B765,Contributions!F:F,"Reinvest",Contributions!G:G,$A765))</f>
        <v/>
      </c>
      <c r="I765">
        <f>IF($A765="","",G765-H765)</f>
        <v/>
      </c>
    </row>
    <row r="766">
      <c r="C766">
        <f>IF($A766="","",SUMIFS(Contributions!E:E,Contributions!B:B,$A766,Contributions!C:C,$B766))</f>
        <v/>
      </c>
      <c r="D766">
        <f>IF($A766="","",SUMIFS(Contributions!E:E,Contributions!B:B,$A766))</f>
        <v/>
      </c>
      <c r="E766">
        <f>IF($A766="","",XLOOKUP($A766,Returns!A:A,Returns!E:E))</f>
        <v/>
      </c>
      <c r="F766">
        <f>IF(OR($A766="",D766=0),"",C766/D766*E766)</f>
        <v/>
      </c>
      <c r="G766">
        <f>IF($A766="","",C766+F766)</f>
        <v/>
      </c>
      <c r="H766">
        <f>IF($A766="","",SUMIFS(Contributions!E:E,Contributions!C:C,$B766,Contributions!F:F,"Reinvest",Contributions!G:G,$A766))</f>
        <v/>
      </c>
      <c r="I766">
        <f>IF($A766="","",G766-H766)</f>
        <v/>
      </c>
    </row>
    <row r="767">
      <c r="C767">
        <f>IF($A767="","",SUMIFS(Contributions!E:E,Contributions!B:B,$A767,Contributions!C:C,$B767))</f>
        <v/>
      </c>
      <c r="D767">
        <f>IF($A767="","",SUMIFS(Contributions!E:E,Contributions!B:B,$A767))</f>
        <v/>
      </c>
      <c r="E767">
        <f>IF($A767="","",XLOOKUP($A767,Returns!A:A,Returns!E:E))</f>
        <v/>
      </c>
      <c r="F767">
        <f>IF(OR($A767="",D767=0),"",C767/D767*E767)</f>
        <v/>
      </c>
      <c r="G767">
        <f>IF($A767="","",C767+F767)</f>
        <v/>
      </c>
      <c r="H767">
        <f>IF($A767="","",SUMIFS(Contributions!E:E,Contributions!C:C,$B767,Contributions!F:F,"Reinvest",Contributions!G:G,$A767))</f>
        <v/>
      </c>
      <c r="I767">
        <f>IF($A767="","",G767-H767)</f>
        <v/>
      </c>
    </row>
    <row r="768">
      <c r="C768">
        <f>IF($A768="","",SUMIFS(Contributions!E:E,Contributions!B:B,$A768,Contributions!C:C,$B768))</f>
        <v/>
      </c>
      <c r="D768">
        <f>IF($A768="","",SUMIFS(Contributions!E:E,Contributions!B:B,$A768))</f>
        <v/>
      </c>
      <c r="E768">
        <f>IF($A768="","",XLOOKUP($A768,Returns!A:A,Returns!E:E))</f>
        <v/>
      </c>
      <c r="F768">
        <f>IF(OR($A768="",D768=0),"",C768/D768*E768)</f>
        <v/>
      </c>
      <c r="G768">
        <f>IF($A768="","",C768+F768)</f>
        <v/>
      </c>
      <c r="H768">
        <f>IF($A768="","",SUMIFS(Contributions!E:E,Contributions!C:C,$B768,Contributions!F:F,"Reinvest",Contributions!G:G,$A768))</f>
        <v/>
      </c>
      <c r="I768">
        <f>IF($A768="","",G768-H768)</f>
        <v/>
      </c>
    </row>
    <row r="769">
      <c r="C769">
        <f>IF($A769="","",SUMIFS(Contributions!E:E,Contributions!B:B,$A769,Contributions!C:C,$B769))</f>
        <v/>
      </c>
      <c r="D769">
        <f>IF($A769="","",SUMIFS(Contributions!E:E,Contributions!B:B,$A769))</f>
        <v/>
      </c>
      <c r="E769">
        <f>IF($A769="","",XLOOKUP($A769,Returns!A:A,Returns!E:E))</f>
        <v/>
      </c>
      <c r="F769">
        <f>IF(OR($A769="",D769=0),"",C769/D769*E769)</f>
        <v/>
      </c>
      <c r="G769">
        <f>IF($A769="","",C769+F769)</f>
        <v/>
      </c>
      <c r="H769">
        <f>IF($A769="","",SUMIFS(Contributions!E:E,Contributions!C:C,$B769,Contributions!F:F,"Reinvest",Contributions!G:G,$A769))</f>
        <v/>
      </c>
      <c r="I769">
        <f>IF($A769="","",G769-H769)</f>
        <v/>
      </c>
    </row>
    <row r="770">
      <c r="C770">
        <f>IF($A770="","",SUMIFS(Contributions!E:E,Contributions!B:B,$A770,Contributions!C:C,$B770))</f>
        <v/>
      </c>
      <c r="D770">
        <f>IF($A770="","",SUMIFS(Contributions!E:E,Contributions!B:B,$A770))</f>
        <v/>
      </c>
      <c r="E770">
        <f>IF($A770="","",XLOOKUP($A770,Returns!A:A,Returns!E:E))</f>
        <v/>
      </c>
      <c r="F770">
        <f>IF(OR($A770="",D770=0),"",C770/D770*E770)</f>
        <v/>
      </c>
      <c r="G770">
        <f>IF($A770="","",C770+F770)</f>
        <v/>
      </c>
      <c r="H770">
        <f>IF($A770="","",SUMIFS(Contributions!E:E,Contributions!C:C,$B770,Contributions!F:F,"Reinvest",Contributions!G:G,$A770))</f>
        <v/>
      </c>
      <c r="I770">
        <f>IF($A770="","",G770-H770)</f>
        <v/>
      </c>
    </row>
    <row r="771">
      <c r="C771">
        <f>IF($A771="","",SUMIFS(Contributions!E:E,Contributions!B:B,$A771,Contributions!C:C,$B771))</f>
        <v/>
      </c>
      <c r="D771">
        <f>IF($A771="","",SUMIFS(Contributions!E:E,Contributions!B:B,$A771))</f>
        <v/>
      </c>
      <c r="E771">
        <f>IF($A771="","",XLOOKUP($A771,Returns!A:A,Returns!E:E))</f>
        <v/>
      </c>
      <c r="F771">
        <f>IF(OR($A771="",D771=0),"",C771/D771*E771)</f>
        <v/>
      </c>
      <c r="G771">
        <f>IF($A771="","",C771+F771)</f>
        <v/>
      </c>
      <c r="H771">
        <f>IF($A771="","",SUMIFS(Contributions!E:E,Contributions!C:C,$B771,Contributions!F:F,"Reinvest",Contributions!G:G,$A771))</f>
        <v/>
      </c>
      <c r="I771">
        <f>IF($A771="","",G771-H771)</f>
        <v/>
      </c>
    </row>
    <row r="772">
      <c r="C772">
        <f>IF($A772="","",SUMIFS(Contributions!E:E,Contributions!B:B,$A772,Contributions!C:C,$B772))</f>
        <v/>
      </c>
      <c r="D772">
        <f>IF($A772="","",SUMIFS(Contributions!E:E,Contributions!B:B,$A772))</f>
        <v/>
      </c>
      <c r="E772">
        <f>IF($A772="","",XLOOKUP($A772,Returns!A:A,Returns!E:E))</f>
        <v/>
      </c>
      <c r="F772">
        <f>IF(OR($A772="",D772=0),"",C772/D772*E772)</f>
        <v/>
      </c>
      <c r="G772">
        <f>IF($A772="","",C772+F772)</f>
        <v/>
      </c>
      <c r="H772">
        <f>IF($A772="","",SUMIFS(Contributions!E:E,Contributions!C:C,$B772,Contributions!F:F,"Reinvest",Contributions!G:G,$A772))</f>
        <v/>
      </c>
      <c r="I772">
        <f>IF($A772="","",G772-H772)</f>
        <v/>
      </c>
    </row>
    <row r="773">
      <c r="C773">
        <f>IF($A773="","",SUMIFS(Contributions!E:E,Contributions!B:B,$A773,Contributions!C:C,$B773))</f>
        <v/>
      </c>
      <c r="D773">
        <f>IF($A773="","",SUMIFS(Contributions!E:E,Contributions!B:B,$A773))</f>
        <v/>
      </c>
      <c r="E773">
        <f>IF($A773="","",XLOOKUP($A773,Returns!A:A,Returns!E:E))</f>
        <v/>
      </c>
      <c r="F773">
        <f>IF(OR($A773="",D773=0),"",C773/D773*E773)</f>
        <v/>
      </c>
      <c r="G773">
        <f>IF($A773="","",C773+F773)</f>
        <v/>
      </c>
      <c r="H773">
        <f>IF($A773="","",SUMIFS(Contributions!E:E,Contributions!C:C,$B773,Contributions!F:F,"Reinvest",Contributions!G:G,$A773))</f>
        <v/>
      </c>
      <c r="I773">
        <f>IF($A773="","",G773-H773)</f>
        <v/>
      </c>
    </row>
    <row r="774">
      <c r="C774">
        <f>IF($A774="","",SUMIFS(Contributions!E:E,Contributions!B:B,$A774,Contributions!C:C,$B774))</f>
        <v/>
      </c>
      <c r="D774">
        <f>IF($A774="","",SUMIFS(Contributions!E:E,Contributions!B:B,$A774))</f>
        <v/>
      </c>
      <c r="E774">
        <f>IF($A774="","",XLOOKUP($A774,Returns!A:A,Returns!E:E))</f>
        <v/>
      </c>
      <c r="F774">
        <f>IF(OR($A774="",D774=0),"",C774/D774*E774)</f>
        <v/>
      </c>
      <c r="G774">
        <f>IF($A774="","",C774+F774)</f>
        <v/>
      </c>
      <c r="H774">
        <f>IF($A774="","",SUMIFS(Contributions!E:E,Contributions!C:C,$B774,Contributions!F:F,"Reinvest",Contributions!G:G,$A774))</f>
        <v/>
      </c>
      <c r="I774">
        <f>IF($A774="","",G774-H774)</f>
        <v/>
      </c>
    </row>
    <row r="775">
      <c r="C775">
        <f>IF($A775="","",SUMIFS(Contributions!E:E,Contributions!B:B,$A775,Contributions!C:C,$B775))</f>
        <v/>
      </c>
      <c r="D775">
        <f>IF($A775="","",SUMIFS(Contributions!E:E,Contributions!B:B,$A775))</f>
        <v/>
      </c>
      <c r="E775">
        <f>IF($A775="","",XLOOKUP($A775,Returns!A:A,Returns!E:E))</f>
        <v/>
      </c>
      <c r="F775">
        <f>IF(OR($A775="",D775=0),"",C775/D775*E775)</f>
        <v/>
      </c>
      <c r="G775">
        <f>IF($A775="","",C775+F775)</f>
        <v/>
      </c>
      <c r="H775">
        <f>IF($A775="","",SUMIFS(Contributions!E:E,Contributions!C:C,$B775,Contributions!F:F,"Reinvest",Contributions!G:G,$A775))</f>
        <v/>
      </c>
      <c r="I775">
        <f>IF($A775="","",G775-H775)</f>
        <v/>
      </c>
    </row>
    <row r="776">
      <c r="C776">
        <f>IF($A776="","",SUMIFS(Contributions!E:E,Contributions!B:B,$A776,Contributions!C:C,$B776))</f>
        <v/>
      </c>
      <c r="D776">
        <f>IF($A776="","",SUMIFS(Contributions!E:E,Contributions!B:B,$A776))</f>
        <v/>
      </c>
      <c r="E776">
        <f>IF($A776="","",XLOOKUP($A776,Returns!A:A,Returns!E:E))</f>
        <v/>
      </c>
      <c r="F776">
        <f>IF(OR($A776="",D776=0),"",C776/D776*E776)</f>
        <v/>
      </c>
      <c r="G776">
        <f>IF($A776="","",C776+F776)</f>
        <v/>
      </c>
      <c r="H776">
        <f>IF($A776="","",SUMIFS(Contributions!E:E,Contributions!C:C,$B776,Contributions!F:F,"Reinvest",Contributions!G:G,$A776))</f>
        <v/>
      </c>
      <c r="I776">
        <f>IF($A776="","",G776-H776)</f>
        <v/>
      </c>
    </row>
    <row r="777">
      <c r="C777">
        <f>IF($A777="","",SUMIFS(Contributions!E:E,Contributions!B:B,$A777,Contributions!C:C,$B777))</f>
        <v/>
      </c>
      <c r="D777">
        <f>IF($A777="","",SUMIFS(Contributions!E:E,Contributions!B:B,$A777))</f>
        <v/>
      </c>
      <c r="E777">
        <f>IF($A777="","",XLOOKUP($A777,Returns!A:A,Returns!E:E))</f>
        <v/>
      </c>
      <c r="F777">
        <f>IF(OR($A777="",D777=0),"",C777/D777*E777)</f>
        <v/>
      </c>
      <c r="G777">
        <f>IF($A777="","",C777+F777)</f>
        <v/>
      </c>
      <c r="H777">
        <f>IF($A777="","",SUMIFS(Contributions!E:E,Contributions!C:C,$B777,Contributions!F:F,"Reinvest",Contributions!G:G,$A777))</f>
        <v/>
      </c>
      <c r="I777">
        <f>IF($A777="","",G777-H777)</f>
        <v/>
      </c>
    </row>
    <row r="778">
      <c r="C778">
        <f>IF($A778="","",SUMIFS(Contributions!E:E,Contributions!B:B,$A778,Contributions!C:C,$B778))</f>
        <v/>
      </c>
      <c r="D778">
        <f>IF($A778="","",SUMIFS(Contributions!E:E,Contributions!B:B,$A778))</f>
        <v/>
      </c>
      <c r="E778">
        <f>IF($A778="","",XLOOKUP($A778,Returns!A:A,Returns!E:E))</f>
        <v/>
      </c>
      <c r="F778">
        <f>IF(OR($A778="",D778=0),"",C778/D778*E778)</f>
        <v/>
      </c>
      <c r="G778">
        <f>IF($A778="","",C778+F778)</f>
        <v/>
      </c>
      <c r="H778">
        <f>IF($A778="","",SUMIFS(Contributions!E:E,Contributions!C:C,$B778,Contributions!F:F,"Reinvest",Contributions!G:G,$A778))</f>
        <v/>
      </c>
      <c r="I778">
        <f>IF($A778="","",G778-H778)</f>
        <v/>
      </c>
    </row>
    <row r="779">
      <c r="C779">
        <f>IF($A779="","",SUMIFS(Contributions!E:E,Contributions!B:B,$A779,Contributions!C:C,$B779))</f>
        <v/>
      </c>
      <c r="D779">
        <f>IF($A779="","",SUMIFS(Contributions!E:E,Contributions!B:B,$A779))</f>
        <v/>
      </c>
      <c r="E779">
        <f>IF($A779="","",XLOOKUP($A779,Returns!A:A,Returns!E:E))</f>
        <v/>
      </c>
      <c r="F779">
        <f>IF(OR($A779="",D779=0),"",C779/D779*E779)</f>
        <v/>
      </c>
      <c r="G779">
        <f>IF($A779="","",C779+F779)</f>
        <v/>
      </c>
      <c r="H779">
        <f>IF($A779="","",SUMIFS(Contributions!E:E,Contributions!C:C,$B779,Contributions!F:F,"Reinvest",Contributions!G:G,$A779))</f>
        <v/>
      </c>
      <c r="I779">
        <f>IF($A779="","",G779-H779)</f>
        <v/>
      </c>
    </row>
    <row r="780">
      <c r="C780">
        <f>IF($A780="","",SUMIFS(Contributions!E:E,Contributions!B:B,$A780,Contributions!C:C,$B780))</f>
        <v/>
      </c>
      <c r="D780">
        <f>IF($A780="","",SUMIFS(Contributions!E:E,Contributions!B:B,$A780))</f>
        <v/>
      </c>
      <c r="E780">
        <f>IF($A780="","",XLOOKUP($A780,Returns!A:A,Returns!E:E))</f>
        <v/>
      </c>
      <c r="F780">
        <f>IF(OR($A780="",D780=0),"",C780/D780*E780)</f>
        <v/>
      </c>
      <c r="G780">
        <f>IF($A780="","",C780+F780)</f>
        <v/>
      </c>
      <c r="H780">
        <f>IF($A780="","",SUMIFS(Contributions!E:E,Contributions!C:C,$B780,Contributions!F:F,"Reinvest",Contributions!G:G,$A780))</f>
        <v/>
      </c>
      <c r="I780">
        <f>IF($A780="","",G780-H780)</f>
        <v/>
      </c>
    </row>
    <row r="781">
      <c r="C781">
        <f>IF($A781="","",SUMIFS(Contributions!E:E,Contributions!B:B,$A781,Contributions!C:C,$B781))</f>
        <v/>
      </c>
      <c r="D781">
        <f>IF($A781="","",SUMIFS(Contributions!E:E,Contributions!B:B,$A781))</f>
        <v/>
      </c>
      <c r="E781">
        <f>IF($A781="","",XLOOKUP($A781,Returns!A:A,Returns!E:E))</f>
        <v/>
      </c>
      <c r="F781">
        <f>IF(OR($A781="",D781=0),"",C781/D781*E781)</f>
        <v/>
      </c>
      <c r="G781">
        <f>IF($A781="","",C781+F781)</f>
        <v/>
      </c>
      <c r="H781">
        <f>IF($A781="","",SUMIFS(Contributions!E:E,Contributions!C:C,$B781,Contributions!F:F,"Reinvest",Contributions!G:G,$A781))</f>
        <v/>
      </c>
      <c r="I781">
        <f>IF($A781="","",G781-H781)</f>
        <v/>
      </c>
    </row>
    <row r="782">
      <c r="C782">
        <f>IF($A782="","",SUMIFS(Contributions!E:E,Contributions!B:B,$A782,Contributions!C:C,$B782))</f>
        <v/>
      </c>
      <c r="D782">
        <f>IF($A782="","",SUMIFS(Contributions!E:E,Contributions!B:B,$A782))</f>
        <v/>
      </c>
      <c r="E782">
        <f>IF($A782="","",XLOOKUP($A782,Returns!A:A,Returns!E:E))</f>
        <v/>
      </c>
      <c r="F782">
        <f>IF(OR($A782="",D782=0),"",C782/D782*E782)</f>
        <v/>
      </c>
      <c r="G782">
        <f>IF($A782="","",C782+F782)</f>
        <v/>
      </c>
      <c r="H782">
        <f>IF($A782="","",SUMIFS(Contributions!E:E,Contributions!C:C,$B782,Contributions!F:F,"Reinvest",Contributions!G:G,$A782))</f>
        <v/>
      </c>
      <c r="I782">
        <f>IF($A782="","",G782-H782)</f>
        <v/>
      </c>
    </row>
    <row r="783">
      <c r="C783">
        <f>IF($A783="","",SUMIFS(Contributions!E:E,Contributions!B:B,$A783,Contributions!C:C,$B783))</f>
        <v/>
      </c>
      <c r="D783">
        <f>IF($A783="","",SUMIFS(Contributions!E:E,Contributions!B:B,$A783))</f>
        <v/>
      </c>
      <c r="E783">
        <f>IF($A783="","",XLOOKUP($A783,Returns!A:A,Returns!E:E))</f>
        <v/>
      </c>
      <c r="F783">
        <f>IF(OR($A783="",D783=0),"",C783/D783*E783)</f>
        <v/>
      </c>
      <c r="G783">
        <f>IF($A783="","",C783+F783)</f>
        <v/>
      </c>
      <c r="H783">
        <f>IF($A783="","",SUMIFS(Contributions!E:E,Contributions!C:C,$B783,Contributions!F:F,"Reinvest",Contributions!G:G,$A783))</f>
        <v/>
      </c>
      <c r="I783">
        <f>IF($A783="","",G783-H783)</f>
        <v/>
      </c>
    </row>
    <row r="784">
      <c r="C784">
        <f>IF($A784="","",SUMIFS(Contributions!E:E,Contributions!B:B,$A784,Contributions!C:C,$B784))</f>
        <v/>
      </c>
      <c r="D784">
        <f>IF($A784="","",SUMIFS(Contributions!E:E,Contributions!B:B,$A784))</f>
        <v/>
      </c>
      <c r="E784">
        <f>IF($A784="","",XLOOKUP($A784,Returns!A:A,Returns!E:E))</f>
        <v/>
      </c>
      <c r="F784">
        <f>IF(OR($A784="",D784=0),"",C784/D784*E784)</f>
        <v/>
      </c>
      <c r="G784">
        <f>IF($A784="","",C784+F784)</f>
        <v/>
      </c>
      <c r="H784">
        <f>IF($A784="","",SUMIFS(Contributions!E:E,Contributions!C:C,$B784,Contributions!F:F,"Reinvest",Contributions!G:G,$A784))</f>
        <v/>
      </c>
      <c r="I784">
        <f>IF($A784="","",G784-H784)</f>
        <v/>
      </c>
    </row>
    <row r="785">
      <c r="C785">
        <f>IF($A785="","",SUMIFS(Contributions!E:E,Contributions!B:B,$A785,Contributions!C:C,$B785))</f>
        <v/>
      </c>
      <c r="D785">
        <f>IF($A785="","",SUMIFS(Contributions!E:E,Contributions!B:B,$A785))</f>
        <v/>
      </c>
      <c r="E785">
        <f>IF($A785="","",XLOOKUP($A785,Returns!A:A,Returns!E:E))</f>
        <v/>
      </c>
      <c r="F785">
        <f>IF(OR($A785="",D785=0),"",C785/D785*E785)</f>
        <v/>
      </c>
      <c r="G785">
        <f>IF($A785="","",C785+F785)</f>
        <v/>
      </c>
      <c r="H785">
        <f>IF($A785="","",SUMIFS(Contributions!E:E,Contributions!C:C,$B785,Contributions!F:F,"Reinvest",Contributions!G:G,$A785))</f>
        <v/>
      </c>
      <c r="I785">
        <f>IF($A785="","",G785-H785)</f>
        <v/>
      </c>
    </row>
    <row r="786">
      <c r="C786">
        <f>IF($A786="","",SUMIFS(Contributions!E:E,Contributions!B:B,$A786,Contributions!C:C,$B786))</f>
        <v/>
      </c>
      <c r="D786">
        <f>IF($A786="","",SUMIFS(Contributions!E:E,Contributions!B:B,$A786))</f>
        <v/>
      </c>
      <c r="E786">
        <f>IF($A786="","",XLOOKUP($A786,Returns!A:A,Returns!E:E))</f>
        <v/>
      </c>
      <c r="F786">
        <f>IF(OR($A786="",D786=0),"",C786/D786*E786)</f>
        <v/>
      </c>
      <c r="G786">
        <f>IF($A786="","",C786+F786)</f>
        <v/>
      </c>
      <c r="H786">
        <f>IF($A786="","",SUMIFS(Contributions!E:E,Contributions!C:C,$B786,Contributions!F:F,"Reinvest",Contributions!G:G,$A786))</f>
        <v/>
      </c>
      <c r="I786">
        <f>IF($A786="","",G786-H786)</f>
        <v/>
      </c>
    </row>
    <row r="787">
      <c r="C787">
        <f>IF($A787="","",SUMIFS(Contributions!E:E,Contributions!B:B,$A787,Contributions!C:C,$B787))</f>
        <v/>
      </c>
      <c r="D787">
        <f>IF($A787="","",SUMIFS(Contributions!E:E,Contributions!B:B,$A787))</f>
        <v/>
      </c>
      <c r="E787">
        <f>IF($A787="","",XLOOKUP($A787,Returns!A:A,Returns!E:E))</f>
        <v/>
      </c>
      <c r="F787">
        <f>IF(OR($A787="",D787=0),"",C787/D787*E787)</f>
        <v/>
      </c>
      <c r="G787">
        <f>IF($A787="","",C787+F787)</f>
        <v/>
      </c>
      <c r="H787">
        <f>IF($A787="","",SUMIFS(Contributions!E:E,Contributions!C:C,$B787,Contributions!F:F,"Reinvest",Contributions!G:G,$A787))</f>
        <v/>
      </c>
      <c r="I787">
        <f>IF($A787="","",G787-H787)</f>
        <v/>
      </c>
    </row>
    <row r="788">
      <c r="C788">
        <f>IF($A788="","",SUMIFS(Contributions!E:E,Contributions!B:B,$A788,Contributions!C:C,$B788))</f>
        <v/>
      </c>
      <c r="D788">
        <f>IF($A788="","",SUMIFS(Contributions!E:E,Contributions!B:B,$A788))</f>
        <v/>
      </c>
      <c r="E788">
        <f>IF($A788="","",XLOOKUP($A788,Returns!A:A,Returns!E:E))</f>
        <v/>
      </c>
      <c r="F788">
        <f>IF(OR($A788="",D788=0),"",C788/D788*E788)</f>
        <v/>
      </c>
      <c r="G788">
        <f>IF($A788="","",C788+F788)</f>
        <v/>
      </c>
      <c r="H788">
        <f>IF($A788="","",SUMIFS(Contributions!E:E,Contributions!C:C,$B788,Contributions!F:F,"Reinvest",Contributions!G:G,$A788))</f>
        <v/>
      </c>
      <c r="I788">
        <f>IF($A788="","",G788-H788)</f>
        <v/>
      </c>
    </row>
    <row r="789">
      <c r="C789">
        <f>IF($A789="","",SUMIFS(Contributions!E:E,Contributions!B:B,$A789,Contributions!C:C,$B789))</f>
        <v/>
      </c>
      <c r="D789">
        <f>IF($A789="","",SUMIFS(Contributions!E:E,Contributions!B:B,$A789))</f>
        <v/>
      </c>
      <c r="E789">
        <f>IF($A789="","",XLOOKUP($A789,Returns!A:A,Returns!E:E))</f>
        <v/>
      </c>
      <c r="F789">
        <f>IF(OR($A789="",D789=0),"",C789/D789*E789)</f>
        <v/>
      </c>
      <c r="G789">
        <f>IF($A789="","",C789+F789)</f>
        <v/>
      </c>
      <c r="H789">
        <f>IF($A789="","",SUMIFS(Contributions!E:E,Contributions!C:C,$B789,Contributions!F:F,"Reinvest",Contributions!G:G,$A789))</f>
        <v/>
      </c>
      <c r="I789">
        <f>IF($A789="","",G789-H789)</f>
        <v/>
      </c>
    </row>
    <row r="790">
      <c r="C790">
        <f>IF($A790="","",SUMIFS(Contributions!E:E,Contributions!B:B,$A790,Contributions!C:C,$B790))</f>
        <v/>
      </c>
      <c r="D790">
        <f>IF($A790="","",SUMIFS(Contributions!E:E,Contributions!B:B,$A790))</f>
        <v/>
      </c>
      <c r="E790">
        <f>IF($A790="","",XLOOKUP($A790,Returns!A:A,Returns!E:E))</f>
        <v/>
      </c>
      <c r="F790">
        <f>IF(OR($A790="",D790=0),"",C790/D790*E790)</f>
        <v/>
      </c>
      <c r="G790">
        <f>IF($A790="","",C790+F790)</f>
        <v/>
      </c>
      <c r="H790">
        <f>IF($A790="","",SUMIFS(Contributions!E:E,Contributions!C:C,$B790,Contributions!F:F,"Reinvest",Contributions!G:G,$A790))</f>
        <v/>
      </c>
      <c r="I790">
        <f>IF($A790="","",G790-H790)</f>
        <v/>
      </c>
    </row>
    <row r="791">
      <c r="C791">
        <f>IF($A791="","",SUMIFS(Contributions!E:E,Contributions!B:B,$A791,Contributions!C:C,$B791))</f>
        <v/>
      </c>
      <c r="D791">
        <f>IF($A791="","",SUMIFS(Contributions!E:E,Contributions!B:B,$A791))</f>
        <v/>
      </c>
      <c r="E791">
        <f>IF($A791="","",XLOOKUP($A791,Returns!A:A,Returns!E:E))</f>
        <v/>
      </c>
      <c r="F791">
        <f>IF(OR($A791="",D791=0),"",C791/D791*E791)</f>
        <v/>
      </c>
      <c r="G791">
        <f>IF($A791="","",C791+F791)</f>
        <v/>
      </c>
      <c r="H791">
        <f>IF($A791="","",SUMIFS(Contributions!E:E,Contributions!C:C,$B791,Contributions!F:F,"Reinvest",Contributions!G:G,$A791))</f>
        <v/>
      </c>
      <c r="I791">
        <f>IF($A791="","",G791-H791)</f>
        <v/>
      </c>
    </row>
    <row r="792">
      <c r="C792">
        <f>IF($A792="","",SUMIFS(Contributions!E:E,Contributions!B:B,$A792,Contributions!C:C,$B792))</f>
        <v/>
      </c>
      <c r="D792">
        <f>IF($A792="","",SUMIFS(Contributions!E:E,Contributions!B:B,$A792))</f>
        <v/>
      </c>
      <c r="E792">
        <f>IF($A792="","",XLOOKUP($A792,Returns!A:A,Returns!E:E))</f>
        <v/>
      </c>
      <c r="F792">
        <f>IF(OR($A792="",D792=0),"",C792/D792*E792)</f>
        <v/>
      </c>
      <c r="G792">
        <f>IF($A792="","",C792+F792)</f>
        <v/>
      </c>
      <c r="H792">
        <f>IF($A792="","",SUMIFS(Contributions!E:E,Contributions!C:C,$B792,Contributions!F:F,"Reinvest",Contributions!G:G,$A792))</f>
        <v/>
      </c>
      <c r="I792">
        <f>IF($A792="","",G792-H792)</f>
        <v/>
      </c>
    </row>
    <row r="793">
      <c r="C793">
        <f>IF($A793="","",SUMIFS(Contributions!E:E,Contributions!B:B,$A793,Contributions!C:C,$B793))</f>
        <v/>
      </c>
      <c r="D793">
        <f>IF($A793="","",SUMIFS(Contributions!E:E,Contributions!B:B,$A793))</f>
        <v/>
      </c>
      <c r="E793">
        <f>IF($A793="","",XLOOKUP($A793,Returns!A:A,Returns!E:E))</f>
        <v/>
      </c>
      <c r="F793">
        <f>IF(OR($A793="",D793=0),"",C793/D793*E793)</f>
        <v/>
      </c>
      <c r="G793">
        <f>IF($A793="","",C793+F793)</f>
        <v/>
      </c>
      <c r="H793">
        <f>IF($A793="","",SUMIFS(Contributions!E:E,Contributions!C:C,$B793,Contributions!F:F,"Reinvest",Contributions!G:G,$A793))</f>
        <v/>
      </c>
      <c r="I793">
        <f>IF($A793="","",G793-H793)</f>
        <v/>
      </c>
    </row>
    <row r="794">
      <c r="C794">
        <f>IF($A794="","",SUMIFS(Contributions!E:E,Contributions!B:B,$A794,Contributions!C:C,$B794))</f>
        <v/>
      </c>
      <c r="D794">
        <f>IF($A794="","",SUMIFS(Contributions!E:E,Contributions!B:B,$A794))</f>
        <v/>
      </c>
      <c r="E794">
        <f>IF($A794="","",XLOOKUP($A794,Returns!A:A,Returns!E:E))</f>
        <v/>
      </c>
      <c r="F794">
        <f>IF(OR($A794="",D794=0),"",C794/D794*E794)</f>
        <v/>
      </c>
      <c r="G794">
        <f>IF($A794="","",C794+F794)</f>
        <v/>
      </c>
      <c r="H794">
        <f>IF($A794="","",SUMIFS(Contributions!E:E,Contributions!C:C,$B794,Contributions!F:F,"Reinvest",Contributions!G:G,$A794))</f>
        <v/>
      </c>
      <c r="I794">
        <f>IF($A794="","",G794-H794)</f>
        <v/>
      </c>
    </row>
    <row r="795">
      <c r="C795">
        <f>IF($A795="","",SUMIFS(Contributions!E:E,Contributions!B:B,$A795,Contributions!C:C,$B795))</f>
        <v/>
      </c>
      <c r="D795">
        <f>IF($A795="","",SUMIFS(Contributions!E:E,Contributions!B:B,$A795))</f>
        <v/>
      </c>
      <c r="E795">
        <f>IF($A795="","",XLOOKUP($A795,Returns!A:A,Returns!E:E))</f>
        <v/>
      </c>
      <c r="F795">
        <f>IF(OR($A795="",D795=0),"",C795/D795*E795)</f>
        <v/>
      </c>
      <c r="G795">
        <f>IF($A795="","",C795+F795)</f>
        <v/>
      </c>
      <c r="H795">
        <f>IF($A795="","",SUMIFS(Contributions!E:E,Contributions!C:C,$B795,Contributions!F:F,"Reinvest",Contributions!G:G,$A795))</f>
        <v/>
      </c>
      <c r="I795">
        <f>IF($A795="","",G795-H795)</f>
        <v/>
      </c>
    </row>
    <row r="796">
      <c r="C796">
        <f>IF($A796="","",SUMIFS(Contributions!E:E,Contributions!B:B,$A796,Contributions!C:C,$B796))</f>
        <v/>
      </c>
      <c r="D796">
        <f>IF($A796="","",SUMIFS(Contributions!E:E,Contributions!B:B,$A796))</f>
        <v/>
      </c>
      <c r="E796">
        <f>IF($A796="","",XLOOKUP($A796,Returns!A:A,Returns!E:E))</f>
        <v/>
      </c>
      <c r="F796">
        <f>IF(OR($A796="",D796=0),"",C796/D796*E796)</f>
        <v/>
      </c>
      <c r="G796">
        <f>IF($A796="","",C796+F796)</f>
        <v/>
      </c>
      <c r="H796">
        <f>IF($A796="","",SUMIFS(Contributions!E:E,Contributions!C:C,$B796,Contributions!F:F,"Reinvest",Contributions!G:G,$A796))</f>
        <v/>
      </c>
      <c r="I796">
        <f>IF($A796="","",G796-H796)</f>
        <v/>
      </c>
    </row>
    <row r="797">
      <c r="C797">
        <f>IF($A797="","",SUMIFS(Contributions!E:E,Contributions!B:B,$A797,Contributions!C:C,$B797))</f>
        <v/>
      </c>
      <c r="D797">
        <f>IF($A797="","",SUMIFS(Contributions!E:E,Contributions!B:B,$A797))</f>
        <v/>
      </c>
      <c r="E797">
        <f>IF($A797="","",XLOOKUP($A797,Returns!A:A,Returns!E:E))</f>
        <v/>
      </c>
      <c r="F797">
        <f>IF(OR($A797="",D797=0),"",C797/D797*E797)</f>
        <v/>
      </c>
      <c r="G797">
        <f>IF($A797="","",C797+F797)</f>
        <v/>
      </c>
      <c r="H797">
        <f>IF($A797="","",SUMIFS(Contributions!E:E,Contributions!C:C,$B797,Contributions!F:F,"Reinvest",Contributions!G:G,$A797))</f>
        <v/>
      </c>
      <c r="I797">
        <f>IF($A797="","",G797-H797)</f>
        <v/>
      </c>
    </row>
    <row r="798">
      <c r="C798">
        <f>IF($A798="","",SUMIFS(Contributions!E:E,Contributions!B:B,$A798,Contributions!C:C,$B798))</f>
        <v/>
      </c>
      <c r="D798">
        <f>IF($A798="","",SUMIFS(Contributions!E:E,Contributions!B:B,$A798))</f>
        <v/>
      </c>
      <c r="E798">
        <f>IF($A798="","",XLOOKUP($A798,Returns!A:A,Returns!E:E))</f>
        <v/>
      </c>
      <c r="F798">
        <f>IF(OR($A798="",D798=0),"",C798/D798*E798)</f>
        <v/>
      </c>
      <c r="G798">
        <f>IF($A798="","",C798+F798)</f>
        <v/>
      </c>
      <c r="H798">
        <f>IF($A798="","",SUMIFS(Contributions!E:E,Contributions!C:C,$B798,Contributions!F:F,"Reinvest",Contributions!G:G,$A798))</f>
        <v/>
      </c>
      <c r="I798">
        <f>IF($A798="","",G798-H798)</f>
        <v/>
      </c>
    </row>
    <row r="799">
      <c r="C799">
        <f>IF($A799="","",SUMIFS(Contributions!E:E,Contributions!B:B,$A799,Contributions!C:C,$B799))</f>
        <v/>
      </c>
      <c r="D799">
        <f>IF($A799="","",SUMIFS(Contributions!E:E,Contributions!B:B,$A799))</f>
        <v/>
      </c>
      <c r="E799">
        <f>IF($A799="","",XLOOKUP($A799,Returns!A:A,Returns!E:E))</f>
        <v/>
      </c>
      <c r="F799">
        <f>IF(OR($A799="",D799=0),"",C799/D799*E799)</f>
        <v/>
      </c>
      <c r="G799">
        <f>IF($A799="","",C799+F799)</f>
        <v/>
      </c>
      <c r="H799">
        <f>IF($A799="","",SUMIFS(Contributions!E:E,Contributions!C:C,$B799,Contributions!F:F,"Reinvest",Contributions!G:G,$A799))</f>
        <v/>
      </c>
      <c r="I799">
        <f>IF($A799="","",G799-H799)</f>
        <v/>
      </c>
    </row>
    <row r="800">
      <c r="C800">
        <f>IF($A800="","",SUMIFS(Contributions!E:E,Contributions!B:B,$A800,Contributions!C:C,$B800))</f>
        <v/>
      </c>
      <c r="D800">
        <f>IF($A800="","",SUMIFS(Contributions!E:E,Contributions!B:B,$A800))</f>
        <v/>
      </c>
      <c r="E800">
        <f>IF($A800="","",XLOOKUP($A800,Returns!A:A,Returns!E:E))</f>
        <v/>
      </c>
      <c r="F800">
        <f>IF(OR($A800="",D800=0),"",C800/D800*E800)</f>
        <v/>
      </c>
      <c r="G800">
        <f>IF($A800="","",C800+F800)</f>
        <v/>
      </c>
      <c r="H800">
        <f>IF($A800="","",SUMIFS(Contributions!E:E,Contributions!C:C,$B800,Contributions!F:F,"Reinvest",Contributions!G:G,$A800))</f>
        <v/>
      </c>
      <c r="I800">
        <f>IF($A800="","",G800-H800)</f>
        <v/>
      </c>
    </row>
    <row r="801">
      <c r="C801">
        <f>IF($A801="","",SUMIFS(Contributions!E:E,Contributions!B:B,$A801,Contributions!C:C,$B801))</f>
        <v/>
      </c>
      <c r="D801">
        <f>IF($A801="","",SUMIFS(Contributions!E:E,Contributions!B:B,$A801))</f>
        <v/>
      </c>
      <c r="E801">
        <f>IF($A801="","",XLOOKUP($A801,Returns!A:A,Returns!E:E))</f>
        <v/>
      </c>
      <c r="F801">
        <f>IF(OR($A801="",D801=0),"",C801/D801*E801)</f>
        <v/>
      </c>
      <c r="G801">
        <f>IF($A801="","",C801+F801)</f>
        <v/>
      </c>
      <c r="H801">
        <f>IF($A801="","",SUMIFS(Contributions!E:E,Contributions!C:C,$B801,Contributions!F:F,"Reinvest",Contributions!G:G,$A801))</f>
        <v/>
      </c>
      <c r="I801">
        <f>IF($A801="","",G801-H801)</f>
        <v/>
      </c>
    </row>
    <row r="802">
      <c r="C802">
        <f>IF($A802="","",SUMIFS(Contributions!E:E,Contributions!B:B,$A802,Contributions!C:C,$B802))</f>
        <v/>
      </c>
      <c r="D802">
        <f>IF($A802="","",SUMIFS(Contributions!E:E,Contributions!B:B,$A802))</f>
        <v/>
      </c>
      <c r="E802">
        <f>IF($A802="","",XLOOKUP($A802,Returns!A:A,Returns!E:E))</f>
        <v/>
      </c>
      <c r="F802">
        <f>IF(OR($A802="",D802=0),"",C802/D802*E802)</f>
        <v/>
      </c>
      <c r="G802">
        <f>IF($A802="","",C802+F802)</f>
        <v/>
      </c>
      <c r="H802">
        <f>IF($A802="","",SUMIFS(Contributions!E:E,Contributions!C:C,$B802,Contributions!F:F,"Reinvest",Contributions!G:G,$A802))</f>
        <v/>
      </c>
      <c r="I802">
        <f>IF($A802="","",G802-H802)</f>
        <v/>
      </c>
    </row>
    <row r="803">
      <c r="C803">
        <f>IF($A803="","",SUMIFS(Contributions!E:E,Contributions!B:B,$A803,Contributions!C:C,$B803))</f>
        <v/>
      </c>
      <c r="D803">
        <f>IF($A803="","",SUMIFS(Contributions!E:E,Contributions!B:B,$A803))</f>
        <v/>
      </c>
      <c r="E803">
        <f>IF($A803="","",XLOOKUP($A803,Returns!A:A,Returns!E:E))</f>
        <v/>
      </c>
      <c r="F803">
        <f>IF(OR($A803="",D803=0),"",C803/D803*E803)</f>
        <v/>
      </c>
      <c r="G803">
        <f>IF($A803="","",C803+F803)</f>
        <v/>
      </c>
      <c r="H803">
        <f>IF($A803="","",SUMIFS(Contributions!E:E,Contributions!C:C,$B803,Contributions!F:F,"Reinvest",Contributions!G:G,$A803))</f>
        <v/>
      </c>
      <c r="I803">
        <f>IF($A803="","",G803-H803)</f>
        <v/>
      </c>
    </row>
    <row r="804">
      <c r="C804">
        <f>IF($A804="","",SUMIFS(Contributions!E:E,Contributions!B:B,$A804,Contributions!C:C,$B804))</f>
        <v/>
      </c>
      <c r="D804">
        <f>IF($A804="","",SUMIFS(Contributions!E:E,Contributions!B:B,$A804))</f>
        <v/>
      </c>
      <c r="E804">
        <f>IF($A804="","",XLOOKUP($A804,Returns!A:A,Returns!E:E))</f>
        <v/>
      </c>
      <c r="F804">
        <f>IF(OR($A804="",D804=0),"",C804/D804*E804)</f>
        <v/>
      </c>
      <c r="G804">
        <f>IF($A804="","",C804+F804)</f>
        <v/>
      </c>
      <c r="H804">
        <f>IF($A804="","",SUMIFS(Contributions!E:E,Contributions!C:C,$B804,Contributions!F:F,"Reinvest",Contributions!G:G,$A804))</f>
        <v/>
      </c>
      <c r="I804">
        <f>IF($A804="","",G804-H804)</f>
        <v/>
      </c>
    </row>
    <row r="805">
      <c r="C805">
        <f>IF($A805="","",SUMIFS(Contributions!E:E,Contributions!B:B,$A805,Contributions!C:C,$B805))</f>
        <v/>
      </c>
      <c r="D805">
        <f>IF($A805="","",SUMIFS(Contributions!E:E,Contributions!B:B,$A805))</f>
        <v/>
      </c>
      <c r="E805">
        <f>IF($A805="","",XLOOKUP($A805,Returns!A:A,Returns!E:E))</f>
        <v/>
      </c>
      <c r="F805">
        <f>IF(OR($A805="",D805=0),"",C805/D805*E805)</f>
        <v/>
      </c>
      <c r="G805">
        <f>IF($A805="","",C805+F805)</f>
        <v/>
      </c>
      <c r="H805">
        <f>IF($A805="","",SUMIFS(Contributions!E:E,Contributions!C:C,$B805,Contributions!F:F,"Reinvest",Contributions!G:G,$A805))</f>
        <v/>
      </c>
      <c r="I805">
        <f>IF($A805="","",G805-H805)</f>
        <v/>
      </c>
    </row>
    <row r="806">
      <c r="C806">
        <f>IF($A806="","",SUMIFS(Contributions!E:E,Contributions!B:B,$A806,Contributions!C:C,$B806))</f>
        <v/>
      </c>
      <c r="D806">
        <f>IF($A806="","",SUMIFS(Contributions!E:E,Contributions!B:B,$A806))</f>
        <v/>
      </c>
      <c r="E806">
        <f>IF($A806="","",XLOOKUP($A806,Returns!A:A,Returns!E:E))</f>
        <v/>
      </c>
      <c r="F806">
        <f>IF(OR($A806="",D806=0),"",C806/D806*E806)</f>
        <v/>
      </c>
      <c r="G806">
        <f>IF($A806="","",C806+F806)</f>
        <v/>
      </c>
      <c r="H806">
        <f>IF($A806="","",SUMIFS(Contributions!E:E,Contributions!C:C,$B806,Contributions!F:F,"Reinvest",Contributions!G:G,$A806))</f>
        <v/>
      </c>
      <c r="I806">
        <f>IF($A806="","",G806-H806)</f>
        <v/>
      </c>
    </row>
    <row r="807">
      <c r="C807">
        <f>IF($A807="","",SUMIFS(Contributions!E:E,Contributions!B:B,$A807,Contributions!C:C,$B807))</f>
        <v/>
      </c>
      <c r="D807">
        <f>IF($A807="","",SUMIFS(Contributions!E:E,Contributions!B:B,$A807))</f>
        <v/>
      </c>
      <c r="E807">
        <f>IF($A807="","",XLOOKUP($A807,Returns!A:A,Returns!E:E))</f>
        <v/>
      </c>
      <c r="F807">
        <f>IF(OR($A807="",D807=0),"",C807/D807*E807)</f>
        <v/>
      </c>
      <c r="G807">
        <f>IF($A807="","",C807+F807)</f>
        <v/>
      </c>
      <c r="H807">
        <f>IF($A807="","",SUMIFS(Contributions!E:E,Contributions!C:C,$B807,Contributions!F:F,"Reinvest",Contributions!G:G,$A807))</f>
        <v/>
      </c>
      <c r="I807">
        <f>IF($A807="","",G807-H807)</f>
        <v/>
      </c>
    </row>
    <row r="808">
      <c r="C808">
        <f>IF($A808="","",SUMIFS(Contributions!E:E,Contributions!B:B,$A808,Contributions!C:C,$B808))</f>
        <v/>
      </c>
      <c r="D808">
        <f>IF($A808="","",SUMIFS(Contributions!E:E,Contributions!B:B,$A808))</f>
        <v/>
      </c>
      <c r="E808">
        <f>IF($A808="","",XLOOKUP($A808,Returns!A:A,Returns!E:E))</f>
        <v/>
      </c>
      <c r="F808">
        <f>IF(OR($A808="",D808=0),"",C808/D808*E808)</f>
        <v/>
      </c>
      <c r="G808">
        <f>IF($A808="","",C808+F808)</f>
        <v/>
      </c>
      <c r="H808">
        <f>IF($A808="","",SUMIFS(Contributions!E:E,Contributions!C:C,$B808,Contributions!F:F,"Reinvest",Contributions!G:G,$A808))</f>
        <v/>
      </c>
      <c r="I808">
        <f>IF($A808="","",G808-H808)</f>
        <v/>
      </c>
    </row>
    <row r="809">
      <c r="C809">
        <f>IF($A809="","",SUMIFS(Contributions!E:E,Contributions!B:B,$A809,Contributions!C:C,$B809))</f>
        <v/>
      </c>
      <c r="D809">
        <f>IF($A809="","",SUMIFS(Contributions!E:E,Contributions!B:B,$A809))</f>
        <v/>
      </c>
      <c r="E809">
        <f>IF($A809="","",XLOOKUP($A809,Returns!A:A,Returns!E:E))</f>
        <v/>
      </c>
      <c r="F809">
        <f>IF(OR($A809="",D809=0),"",C809/D809*E809)</f>
        <v/>
      </c>
      <c r="G809">
        <f>IF($A809="","",C809+F809)</f>
        <v/>
      </c>
      <c r="H809">
        <f>IF($A809="","",SUMIFS(Contributions!E:E,Contributions!C:C,$B809,Contributions!F:F,"Reinvest",Contributions!G:G,$A809))</f>
        <v/>
      </c>
      <c r="I809">
        <f>IF($A809="","",G809-H809)</f>
        <v/>
      </c>
    </row>
    <row r="810">
      <c r="C810">
        <f>IF($A810="","",SUMIFS(Contributions!E:E,Contributions!B:B,$A810,Contributions!C:C,$B810))</f>
        <v/>
      </c>
      <c r="D810">
        <f>IF($A810="","",SUMIFS(Contributions!E:E,Contributions!B:B,$A810))</f>
        <v/>
      </c>
      <c r="E810">
        <f>IF($A810="","",XLOOKUP($A810,Returns!A:A,Returns!E:E))</f>
        <v/>
      </c>
      <c r="F810">
        <f>IF(OR($A810="",D810=0),"",C810/D810*E810)</f>
        <v/>
      </c>
      <c r="G810">
        <f>IF($A810="","",C810+F810)</f>
        <v/>
      </c>
      <c r="H810">
        <f>IF($A810="","",SUMIFS(Contributions!E:E,Contributions!C:C,$B810,Contributions!F:F,"Reinvest",Contributions!G:G,$A810))</f>
        <v/>
      </c>
      <c r="I810">
        <f>IF($A810="","",G810-H810)</f>
        <v/>
      </c>
    </row>
    <row r="811">
      <c r="C811">
        <f>IF($A811="","",SUMIFS(Contributions!E:E,Contributions!B:B,$A811,Contributions!C:C,$B811))</f>
        <v/>
      </c>
      <c r="D811">
        <f>IF($A811="","",SUMIFS(Contributions!E:E,Contributions!B:B,$A811))</f>
        <v/>
      </c>
      <c r="E811">
        <f>IF($A811="","",XLOOKUP($A811,Returns!A:A,Returns!E:E))</f>
        <v/>
      </c>
      <c r="F811">
        <f>IF(OR($A811="",D811=0),"",C811/D811*E811)</f>
        <v/>
      </c>
      <c r="G811">
        <f>IF($A811="","",C811+F811)</f>
        <v/>
      </c>
      <c r="H811">
        <f>IF($A811="","",SUMIFS(Contributions!E:E,Contributions!C:C,$B811,Contributions!F:F,"Reinvest",Contributions!G:G,$A811))</f>
        <v/>
      </c>
      <c r="I811">
        <f>IF($A811="","",G811-H811)</f>
        <v/>
      </c>
    </row>
    <row r="812">
      <c r="C812">
        <f>IF($A812="","",SUMIFS(Contributions!E:E,Contributions!B:B,$A812,Contributions!C:C,$B812))</f>
        <v/>
      </c>
      <c r="D812">
        <f>IF($A812="","",SUMIFS(Contributions!E:E,Contributions!B:B,$A812))</f>
        <v/>
      </c>
      <c r="E812">
        <f>IF($A812="","",XLOOKUP($A812,Returns!A:A,Returns!E:E))</f>
        <v/>
      </c>
      <c r="F812">
        <f>IF(OR($A812="",D812=0),"",C812/D812*E812)</f>
        <v/>
      </c>
      <c r="G812">
        <f>IF($A812="","",C812+F812)</f>
        <v/>
      </c>
      <c r="H812">
        <f>IF($A812="","",SUMIFS(Contributions!E:E,Contributions!C:C,$B812,Contributions!F:F,"Reinvest",Contributions!G:G,$A812))</f>
        <v/>
      </c>
      <c r="I812">
        <f>IF($A812="","",G812-H812)</f>
        <v/>
      </c>
    </row>
    <row r="813">
      <c r="C813">
        <f>IF($A813="","",SUMIFS(Contributions!E:E,Contributions!B:B,$A813,Contributions!C:C,$B813))</f>
        <v/>
      </c>
      <c r="D813">
        <f>IF($A813="","",SUMIFS(Contributions!E:E,Contributions!B:B,$A813))</f>
        <v/>
      </c>
      <c r="E813">
        <f>IF($A813="","",XLOOKUP($A813,Returns!A:A,Returns!E:E))</f>
        <v/>
      </c>
      <c r="F813">
        <f>IF(OR($A813="",D813=0),"",C813/D813*E813)</f>
        <v/>
      </c>
      <c r="G813">
        <f>IF($A813="","",C813+F813)</f>
        <v/>
      </c>
      <c r="H813">
        <f>IF($A813="","",SUMIFS(Contributions!E:E,Contributions!C:C,$B813,Contributions!F:F,"Reinvest",Contributions!G:G,$A813))</f>
        <v/>
      </c>
      <c r="I813">
        <f>IF($A813="","",G813-H813)</f>
        <v/>
      </c>
    </row>
    <row r="814">
      <c r="C814">
        <f>IF($A814="","",SUMIFS(Contributions!E:E,Contributions!B:B,$A814,Contributions!C:C,$B814))</f>
        <v/>
      </c>
      <c r="D814">
        <f>IF($A814="","",SUMIFS(Contributions!E:E,Contributions!B:B,$A814))</f>
        <v/>
      </c>
      <c r="E814">
        <f>IF($A814="","",XLOOKUP($A814,Returns!A:A,Returns!E:E))</f>
        <v/>
      </c>
      <c r="F814">
        <f>IF(OR($A814="",D814=0),"",C814/D814*E814)</f>
        <v/>
      </c>
      <c r="G814">
        <f>IF($A814="","",C814+F814)</f>
        <v/>
      </c>
      <c r="H814">
        <f>IF($A814="","",SUMIFS(Contributions!E:E,Contributions!C:C,$B814,Contributions!F:F,"Reinvest",Contributions!G:G,$A814))</f>
        <v/>
      </c>
      <c r="I814">
        <f>IF($A814="","",G814-H814)</f>
        <v/>
      </c>
    </row>
    <row r="815">
      <c r="C815">
        <f>IF($A815="","",SUMIFS(Contributions!E:E,Contributions!B:B,$A815,Contributions!C:C,$B815))</f>
        <v/>
      </c>
      <c r="D815">
        <f>IF($A815="","",SUMIFS(Contributions!E:E,Contributions!B:B,$A815))</f>
        <v/>
      </c>
      <c r="E815">
        <f>IF($A815="","",XLOOKUP($A815,Returns!A:A,Returns!E:E))</f>
        <v/>
      </c>
      <c r="F815">
        <f>IF(OR($A815="",D815=0),"",C815/D815*E815)</f>
        <v/>
      </c>
      <c r="G815">
        <f>IF($A815="","",C815+F815)</f>
        <v/>
      </c>
      <c r="H815">
        <f>IF($A815="","",SUMIFS(Contributions!E:E,Contributions!C:C,$B815,Contributions!F:F,"Reinvest",Contributions!G:G,$A815))</f>
        <v/>
      </c>
      <c r="I815">
        <f>IF($A815="","",G815-H815)</f>
        <v/>
      </c>
    </row>
    <row r="816">
      <c r="C816">
        <f>IF($A816="","",SUMIFS(Contributions!E:E,Contributions!B:B,$A816,Contributions!C:C,$B816))</f>
        <v/>
      </c>
      <c r="D816">
        <f>IF($A816="","",SUMIFS(Contributions!E:E,Contributions!B:B,$A816))</f>
        <v/>
      </c>
      <c r="E816">
        <f>IF($A816="","",XLOOKUP($A816,Returns!A:A,Returns!E:E))</f>
        <v/>
      </c>
      <c r="F816">
        <f>IF(OR($A816="",D816=0),"",C816/D816*E816)</f>
        <v/>
      </c>
      <c r="G816">
        <f>IF($A816="","",C816+F816)</f>
        <v/>
      </c>
      <c r="H816">
        <f>IF($A816="","",SUMIFS(Contributions!E:E,Contributions!C:C,$B816,Contributions!F:F,"Reinvest",Contributions!G:G,$A816))</f>
        <v/>
      </c>
      <c r="I816">
        <f>IF($A816="","",G816-H816)</f>
        <v/>
      </c>
    </row>
    <row r="817">
      <c r="C817">
        <f>IF($A817="","",SUMIFS(Contributions!E:E,Contributions!B:B,$A817,Contributions!C:C,$B817))</f>
        <v/>
      </c>
      <c r="D817">
        <f>IF($A817="","",SUMIFS(Contributions!E:E,Contributions!B:B,$A817))</f>
        <v/>
      </c>
      <c r="E817">
        <f>IF($A817="","",XLOOKUP($A817,Returns!A:A,Returns!E:E))</f>
        <v/>
      </c>
      <c r="F817">
        <f>IF(OR($A817="",D817=0),"",C817/D817*E817)</f>
        <v/>
      </c>
      <c r="G817">
        <f>IF($A817="","",C817+F817)</f>
        <v/>
      </c>
      <c r="H817">
        <f>IF($A817="","",SUMIFS(Contributions!E:E,Contributions!C:C,$B817,Contributions!F:F,"Reinvest",Contributions!G:G,$A817))</f>
        <v/>
      </c>
      <c r="I817">
        <f>IF($A817="","",G817-H817)</f>
        <v/>
      </c>
    </row>
    <row r="818">
      <c r="C818">
        <f>IF($A818="","",SUMIFS(Contributions!E:E,Contributions!B:B,$A818,Contributions!C:C,$B818))</f>
        <v/>
      </c>
      <c r="D818">
        <f>IF($A818="","",SUMIFS(Contributions!E:E,Contributions!B:B,$A818))</f>
        <v/>
      </c>
      <c r="E818">
        <f>IF($A818="","",XLOOKUP($A818,Returns!A:A,Returns!E:E))</f>
        <v/>
      </c>
      <c r="F818">
        <f>IF(OR($A818="",D818=0),"",C818/D818*E818)</f>
        <v/>
      </c>
      <c r="G818">
        <f>IF($A818="","",C818+F818)</f>
        <v/>
      </c>
      <c r="H818">
        <f>IF($A818="","",SUMIFS(Contributions!E:E,Contributions!C:C,$B818,Contributions!F:F,"Reinvest",Contributions!G:G,$A818))</f>
        <v/>
      </c>
      <c r="I818">
        <f>IF($A818="","",G818-H818)</f>
        <v/>
      </c>
    </row>
    <row r="819">
      <c r="C819">
        <f>IF($A819="","",SUMIFS(Contributions!E:E,Contributions!B:B,$A819,Contributions!C:C,$B819))</f>
        <v/>
      </c>
      <c r="D819">
        <f>IF($A819="","",SUMIFS(Contributions!E:E,Contributions!B:B,$A819))</f>
        <v/>
      </c>
      <c r="E819">
        <f>IF($A819="","",XLOOKUP($A819,Returns!A:A,Returns!E:E))</f>
        <v/>
      </c>
      <c r="F819">
        <f>IF(OR($A819="",D819=0),"",C819/D819*E819)</f>
        <v/>
      </c>
      <c r="G819">
        <f>IF($A819="","",C819+F819)</f>
        <v/>
      </c>
      <c r="H819">
        <f>IF($A819="","",SUMIFS(Contributions!E:E,Contributions!C:C,$B819,Contributions!F:F,"Reinvest",Contributions!G:G,$A819))</f>
        <v/>
      </c>
      <c r="I819">
        <f>IF($A819="","",G819-H819)</f>
        <v/>
      </c>
    </row>
    <row r="820">
      <c r="C820">
        <f>IF($A820="","",SUMIFS(Contributions!E:E,Contributions!B:B,$A820,Contributions!C:C,$B820))</f>
        <v/>
      </c>
      <c r="D820">
        <f>IF($A820="","",SUMIFS(Contributions!E:E,Contributions!B:B,$A820))</f>
        <v/>
      </c>
      <c r="E820">
        <f>IF($A820="","",XLOOKUP($A820,Returns!A:A,Returns!E:E))</f>
        <v/>
      </c>
      <c r="F820">
        <f>IF(OR($A820="",D820=0),"",C820/D820*E820)</f>
        <v/>
      </c>
      <c r="G820">
        <f>IF($A820="","",C820+F820)</f>
        <v/>
      </c>
      <c r="H820">
        <f>IF($A820="","",SUMIFS(Contributions!E:E,Contributions!C:C,$B820,Contributions!F:F,"Reinvest",Contributions!G:G,$A820))</f>
        <v/>
      </c>
      <c r="I820">
        <f>IF($A820="","",G820-H820)</f>
        <v/>
      </c>
    </row>
    <row r="821">
      <c r="C821">
        <f>IF($A821="","",SUMIFS(Contributions!E:E,Contributions!B:B,$A821,Contributions!C:C,$B821))</f>
        <v/>
      </c>
      <c r="D821">
        <f>IF($A821="","",SUMIFS(Contributions!E:E,Contributions!B:B,$A821))</f>
        <v/>
      </c>
      <c r="E821">
        <f>IF($A821="","",XLOOKUP($A821,Returns!A:A,Returns!E:E))</f>
        <v/>
      </c>
      <c r="F821">
        <f>IF(OR($A821="",D821=0),"",C821/D821*E821)</f>
        <v/>
      </c>
      <c r="G821">
        <f>IF($A821="","",C821+F821)</f>
        <v/>
      </c>
      <c r="H821">
        <f>IF($A821="","",SUMIFS(Contributions!E:E,Contributions!C:C,$B821,Contributions!F:F,"Reinvest",Contributions!G:G,$A821))</f>
        <v/>
      </c>
      <c r="I821">
        <f>IF($A821="","",G821-H821)</f>
        <v/>
      </c>
    </row>
    <row r="822">
      <c r="C822">
        <f>IF($A822="","",SUMIFS(Contributions!E:E,Contributions!B:B,$A822,Contributions!C:C,$B822))</f>
        <v/>
      </c>
      <c r="D822">
        <f>IF($A822="","",SUMIFS(Contributions!E:E,Contributions!B:B,$A822))</f>
        <v/>
      </c>
      <c r="E822">
        <f>IF($A822="","",XLOOKUP($A822,Returns!A:A,Returns!E:E))</f>
        <v/>
      </c>
      <c r="F822">
        <f>IF(OR($A822="",D822=0),"",C822/D822*E822)</f>
        <v/>
      </c>
      <c r="G822">
        <f>IF($A822="","",C822+F822)</f>
        <v/>
      </c>
      <c r="H822">
        <f>IF($A822="","",SUMIFS(Contributions!E:E,Contributions!C:C,$B822,Contributions!F:F,"Reinvest",Contributions!G:G,$A822))</f>
        <v/>
      </c>
      <c r="I822">
        <f>IF($A822="","",G822-H822)</f>
        <v/>
      </c>
    </row>
    <row r="823">
      <c r="C823">
        <f>IF($A823="","",SUMIFS(Contributions!E:E,Contributions!B:B,$A823,Contributions!C:C,$B823))</f>
        <v/>
      </c>
      <c r="D823">
        <f>IF($A823="","",SUMIFS(Contributions!E:E,Contributions!B:B,$A823))</f>
        <v/>
      </c>
      <c r="E823">
        <f>IF($A823="","",XLOOKUP($A823,Returns!A:A,Returns!E:E))</f>
        <v/>
      </c>
      <c r="F823">
        <f>IF(OR($A823="",D823=0),"",C823/D823*E823)</f>
        <v/>
      </c>
      <c r="G823">
        <f>IF($A823="","",C823+F823)</f>
        <v/>
      </c>
      <c r="H823">
        <f>IF($A823="","",SUMIFS(Contributions!E:E,Contributions!C:C,$B823,Contributions!F:F,"Reinvest",Contributions!G:G,$A823))</f>
        <v/>
      </c>
      <c r="I823">
        <f>IF($A823="","",G823-H823)</f>
        <v/>
      </c>
    </row>
    <row r="824">
      <c r="C824">
        <f>IF($A824="","",SUMIFS(Contributions!E:E,Contributions!B:B,$A824,Contributions!C:C,$B824))</f>
        <v/>
      </c>
      <c r="D824">
        <f>IF($A824="","",SUMIFS(Contributions!E:E,Contributions!B:B,$A824))</f>
        <v/>
      </c>
      <c r="E824">
        <f>IF($A824="","",XLOOKUP($A824,Returns!A:A,Returns!E:E))</f>
        <v/>
      </c>
      <c r="F824">
        <f>IF(OR($A824="",D824=0),"",C824/D824*E824)</f>
        <v/>
      </c>
      <c r="G824">
        <f>IF($A824="","",C824+F824)</f>
        <v/>
      </c>
      <c r="H824">
        <f>IF($A824="","",SUMIFS(Contributions!E:E,Contributions!C:C,$B824,Contributions!F:F,"Reinvest",Contributions!G:G,$A824))</f>
        <v/>
      </c>
      <c r="I824">
        <f>IF($A824="","",G824-H824)</f>
        <v/>
      </c>
    </row>
    <row r="825">
      <c r="C825">
        <f>IF($A825="","",SUMIFS(Contributions!E:E,Contributions!B:B,$A825,Contributions!C:C,$B825))</f>
        <v/>
      </c>
      <c r="D825">
        <f>IF($A825="","",SUMIFS(Contributions!E:E,Contributions!B:B,$A825))</f>
        <v/>
      </c>
      <c r="E825">
        <f>IF($A825="","",XLOOKUP($A825,Returns!A:A,Returns!E:E))</f>
        <v/>
      </c>
      <c r="F825">
        <f>IF(OR($A825="",D825=0),"",C825/D825*E825)</f>
        <v/>
      </c>
      <c r="G825">
        <f>IF($A825="","",C825+F825)</f>
        <v/>
      </c>
      <c r="H825">
        <f>IF($A825="","",SUMIFS(Contributions!E:E,Contributions!C:C,$B825,Contributions!F:F,"Reinvest",Contributions!G:G,$A825))</f>
        <v/>
      </c>
      <c r="I825">
        <f>IF($A825="","",G825-H825)</f>
        <v/>
      </c>
    </row>
    <row r="826">
      <c r="C826">
        <f>IF($A826="","",SUMIFS(Contributions!E:E,Contributions!B:B,$A826,Contributions!C:C,$B826))</f>
        <v/>
      </c>
      <c r="D826">
        <f>IF($A826="","",SUMIFS(Contributions!E:E,Contributions!B:B,$A826))</f>
        <v/>
      </c>
      <c r="E826">
        <f>IF($A826="","",XLOOKUP($A826,Returns!A:A,Returns!E:E))</f>
        <v/>
      </c>
      <c r="F826">
        <f>IF(OR($A826="",D826=0),"",C826/D826*E826)</f>
        <v/>
      </c>
      <c r="G826">
        <f>IF($A826="","",C826+F826)</f>
        <v/>
      </c>
      <c r="H826">
        <f>IF($A826="","",SUMIFS(Contributions!E:E,Contributions!C:C,$B826,Contributions!F:F,"Reinvest",Contributions!G:G,$A826))</f>
        <v/>
      </c>
      <c r="I826">
        <f>IF($A826="","",G826-H826)</f>
        <v/>
      </c>
    </row>
    <row r="827">
      <c r="C827">
        <f>IF($A827="","",SUMIFS(Contributions!E:E,Contributions!B:B,$A827,Contributions!C:C,$B827))</f>
        <v/>
      </c>
      <c r="D827">
        <f>IF($A827="","",SUMIFS(Contributions!E:E,Contributions!B:B,$A827))</f>
        <v/>
      </c>
      <c r="E827">
        <f>IF($A827="","",XLOOKUP($A827,Returns!A:A,Returns!E:E))</f>
        <v/>
      </c>
      <c r="F827">
        <f>IF(OR($A827="",D827=0),"",C827/D827*E827)</f>
        <v/>
      </c>
      <c r="G827">
        <f>IF($A827="","",C827+F827)</f>
        <v/>
      </c>
      <c r="H827">
        <f>IF($A827="","",SUMIFS(Contributions!E:E,Contributions!C:C,$B827,Contributions!F:F,"Reinvest",Contributions!G:G,$A827))</f>
        <v/>
      </c>
      <c r="I827">
        <f>IF($A827="","",G827-H827)</f>
        <v/>
      </c>
    </row>
    <row r="828">
      <c r="C828">
        <f>IF($A828="","",SUMIFS(Contributions!E:E,Contributions!B:B,$A828,Contributions!C:C,$B828))</f>
        <v/>
      </c>
      <c r="D828">
        <f>IF($A828="","",SUMIFS(Contributions!E:E,Contributions!B:B,$A828))</f>
        <v/>
      </c>
      <c r="E828">
        <f>IF($A828="","",XLOOKUP($A828,Returns!A:A,Returns!E:E))</f>
        <v/>
      </c>
      <c r="F828">
        <f>IF(OR($A828="",D828=0),"",C828/D828*E828)</f>
        <v/>
      </c>
      <c r="G828">
        <f>IF($A828="","",C828+F828)</f>
        <v/>
      </c>
      <c r="H828">
        <f>IF($A828="","",SUMIFS(Contributions!E:E,Contributions!C:C,$B828,Contributions!F:F,"Reinvest",Contributions!G:G,$A828))</f>
        <v/>
      </c>
      <c r="I828">
        <f>IF($A828="","",G828-H828)</f>
        <v/>
      </c>
    </row>
    <row r="829">
      <c r="C829">
        <f>IF($A829="","",SUMIFS(Contributions!E:E,Contributions!B:B,$A829,Contributions!C:C,$B829))</f>
        <v/>
      </c>
      <c r="D829">
        <f>IF($A829="","",SUMIFS(Contributions!E:E,Contributions!B:B,$A829))</f>
        <v/>
      </c>
      <c r="E829">
        <f>IF($A829="","",XLOOKUP($A829,Returns!A:A,Returns!E:E))</f>
        <v/>
      </c>
      <c r="F829">
        <f>IF(OR($A829="",D829=0),"",C829/D829*E829)</f>
        <v/>
      </c>
      <c r="G829">
        <f>IF($A829="","",C829+F829)</f>
        <v/>
      </c>
      <c r="H829">
        <f>IF($A829="","",SUMIFS(Contributions!E:E,Contributions!C:C,$B829,Contributions!F:F,"Reinvest",Contributions!G:G,$A829))</f>
        <v/>
      </c>
      <c r="I829">
        <f>IF($A829="","",G829-H829)</f>
        <v/>
      </c>
    </row>
    <row r="830">
      <c r="C830">
        <f>IF($A830="","",SUMIFS(Contributions!E:E,Contributions!B:B,$A830,Contributions!C:C,$B830))</f>
        <v/>
      </c>
      <c r="D830">
        <f>IF($A830="","",SUMIFS(Contributions!E:E,Contributions!B:B,$A830))</f>
        <v/>
      </c>
      <c r="E830">
        <f>IF($A830="","",XLOOKUP($A830,Returns!A:A,Returns!E:E))</f>
        <v/>
      </c>
      <c r="F830">
        <f>IF(OR($A830="",D830=0),"",C830/D830*E830)</f>
        <v/>
      </c>
      <c r="G830">
        <f>IF($A830="","",C830+F830)</f>
        <v/>
      </c>
      <c r="H830">
        <f>IF($A830="","",SUMIFS(Contributions!E:E,Contributions!C:C,$B830,Contributions!F:F,"Reinvest",Contributions!G:G,$A830))</f>
        <v/>
      </c>
      <c r="I830">
        <f>IF($A830="","",G830-H830)</f>
        <v/>
      </c>
    </row>
    <row r="831">
      <c r="C831">
        <f>IF($A831="","",SUMIFS(Contributions!E:E,Contributions!B:B,$A831,Contributions!C:C,$B831))</f>
        <v/>
      </c>
      <c r="D831">
        <f>IF($A831="","",SUMIFS(Contributions!E:E,Contributions!B:B,$A831))</f>
        <v/>
      </c>
      <c r="E831">
        <f>IF($A831="","",XLOOKUP($A831,Returns!A:A,Returns!E:E))</f>
        <v/>
      </c>
      <c r="F831">
        <f>IF(OR($A831="",D831=0),"",C831/D831*E831)</f>
        <v/>
      </c>
      <c r="G831">
        <f>IF($A831="","",C831+F831)</f>
        <v/>
      </c>
      <c r="H831">
        <f>IF($A831="","",SUMIFS(Contributions!E:E,Contributions!C:C,$B831,Contributions!F:F,"Reinvest",Contributions!G:G,$A831))</f>
        <v/>
      </c>
      <c r="I831">
        <f>IF($A831="","",G831-H831)</f>
        <v/>
      </c>
    </row>
    <row r="832">
      <c r="C832">
        <f>IF($A832="","",SUMIFS(Contributions!E:E,Contributions!B:B,$A832,Contributions!C:C,$B832))</f>
        <v/>
      </c>
      <c r="D832">
        <f>IF($A832="","",SUMIFS(Contributions!E:E,Contributions!B:B,$A832))</f>
        <v/>
      </c>
      <c r="E832">
        <f>IF($A832="","",XLOOKUP($A832,Returns!A:A,Returns!E:E))</f>
        <v/>
      </c>
      <c r="F832">
        <f>IF(OR($A832="",D832=0),"",C832/D832*E832)</f>
        <v/>
      </c>
      <c r="G832">
        <f>IF($A832="","",C832+F832)</f>
        <v/>
      </c>
      <c r="H832">
        <f>IF($A832="","",SUMIFS(Contributions!E:E,Contributions!C:C,$B832,Contributions!F:F,"Reinvest",Contributions!G:G,$A832))</f>
        <v/>
      </c>
      <c r="I832">
        <f>IF($A832="","",G832-H832)</f>
        <v/>
      </c>
    </row>
    <row r="833">
      <c r="C833">
        <f>IF($A833="","",SUMIFS(Contributions!E:E,Contributions!B:B,$A833,Contributions!C:C,$B833))</f>
        <v/>
      </c>
      <c r="D833">
        <f>IF($A833="","",SUMIFS(Contributions!E:E,Contributions!B:B,$A833))</f>
        <v/>
      </c>
      <c r="E833">
        <f>IF($A833="","",XLOOKUP($A833,Returns!A:A,Returns!E:E))</f>
        <v/>
      </c>
      <c r="F833">
        <f>IF(OR($A833="",D833=0),"",C833/D833*E833)</f>
        <v/>
      </c>
      <c r="G833">
        <f>IF($A833="","",C833+F833)</f>
        <v/>
      </c>
      <c r="H833">
        <f>IF($A833="","",SUMIFS(Contributions!E:E,Contributions!C:C,$B833,Contributions!F:F,"Reinvest",Contributions!G:G,$A833))</f>
        <v/>
      </c>
      <c r="I833">
        <f>IF($A833="","",G833-H833)</f>
        <v/>
      </c>
    </row>
    <row r="834">
      <c r="C834">
        <f>IF($A834="","",SUMIFS(Contributions!E:E,Contributions!B:B,$A834,Contributions!C:C,$B834))</f>
        <v/>
      </c>
      <c r="D834">
        <f>IF($A834="","",SUMIFS(Contributions!E:E,Contributions!B:B,$A834))</f>
        <v/>
      </c>
      <c r="E834">
        <f>IF($A834="","",XLOOKUP($A834,Returns!A:A,Returns!E:E))</f>
        <v/>
      </c>
      <c r="F834">
        <f>IF(OR($A834="",D834=0),"",C834/D834*E834)</f>
        <v/>
      </c>
      <c r="G834">
        <f>IF($A834="","",C834+F834)</f>
        <v/>
      </c>
      <c r="H834">
        <f>IF($A834="","",SUMIFS(Contributions!E:E,Contributions!C:C,$B834,Contributions!F:F,"Reinvest",Contributions!G:G,$A834))</f>
        <v/>
      </c>
      <c r="I834">
        <f>IF($A834="","",G834-H834)</f>
        <v/>
      </c>
    </row>
    <row r="835">
      <c r="C835">
        <f>IF($A835="","",SUMIFS(Contributions!E:E,Contributions!B:B,$A835,Contributions!C:C,$B835))</f>
        <v/>
      </c>
      <c r="D835">
        <f>IF($A835="","",SUMIFS(Contributions!E:E,Contributions!B:B,$A835))</f>
        <v/>
      </c>
      <c r="E835">
        <f>IF($A835="","",XLOOKUP($A835,Returns!A:A,Returns!E:E))</f>
        <v/>
      </c>
      <c r="F835">
        <f>IF(OR($A835="",D835=0),"",C835/D835*E835)</f>
        <v/>
      </c>
      <c r="G835">
        <f>IF($A835="","",C835+F835)</f>
        <v/>
      </c>
      <c r="H835">
        <f>IF($A835="","",SUMIFS(Contributions!E:E,Contributions!C:C,$B835,Contributions!F:F,"Reinvest",Contributions!G:G,$A835))</f>
        <v/>
      </c>
      <c r="I835">
        <f>IF($A835="","",G835-H835)</f>
        <v/>
      </c>
    </row>
    <row r="836">
      <c r="C836">
        <f>IF($A836="","",SUMIFS(Contributions!E:E,Contributions!B:B,$A836,Contributions!C:C,$B836))</f>
        <v/>
      </c>
      <c r="D836">
        <f>IF($A836="","",SUMIFS(Contributions!E:E,Contributions!B:B,$A836))</f>
        <v/>
      </c>
      <c r="E836">
        <f>IF($A836="","",XLOOKUP($A836,Returns!A:A,Returns!E:E))</f>
        <v/>
      </c>
      <c r="F836">
        <f>IF(OR($A836="",D836=0),"",C836/D836*E836)</f>
        <v/>
      </c>
      <c r="G836">
        <f>IF($A836="","",C836+F836)</f>
        <v/>
      </c>
      <c r="H836">
        <f>IF($A836="","",SUMIFS(Contributions!E:E,Contributions!C:C,$B836,Contributions!F:F,"Reinvest",Contributions!G:G,$A836))</f>
        <v/>
      </c>
      <c r="I836">
        <f>IF($A836="","",G836-H836)</f>
        <v/>
      </c>
    </row>
    <row r="837">
      <c r="C837">
        <f>IF($A837="","",SUMIFS(Contributions!E:E,Contributions!B:B,$A837,Contributions!C:C,$B837))</f>
        <v/>
      </c>
      <c r="D837">
        <f>IF($A837="","",SUMIFS(Contributions!E:E,Contributions!B:B,$A837))</f>
        <v/>
      </c>
      <c r="E837">
        <f>IF($A837="","",XLOOKUP($A837,Returns!A:A,Returns!E:E))</f>
        <v/>
      </c>
      <c r="F837">
        <f>IF(OR($A837="",D837=0),"",C837/D837*E837)</f>
        <v/>
      </c>
      <c r="G837">
        <f>IF($A837="","",C837+F837)</f>
        <v/>
      </c>
      <c r="H837">
        <f>IF($A837="","",SUMIFS(Contributions!E:E,Contributions!C:C,$B837,Contributions!F:F,"Reinvest",Contributions!G:G,$A837))</f>
        <v/>
      </c>
      <c r="I837">
        <f>IF($A837="","",G837-H837)</f>
        <v/>
      </c>
    </row>
    <row r="838">
      <c r="C838">
        <f>IF($A838="","",SUMIFS(Contributions!E:E,Contributions!B:B,$A838,Contributions!C:C,$B838))</f>
        <v/>
      </c>
      <c r="D838">
        <f>IF($A838="","",SUMIFS(Contributions!E:E,Contributions!B:B,$A838))</f>
        <v/>
      </c>
      <c r="E838">
        <f>IF($A838="","",XLOOKUP($A838,Returns!A:A,Returns!E:E))</f>
        <v/>
      </c>
      <c r="F838">
        <f>IF(OR($A838="",D838=0),"",C838/D838*E838)</f>
        <v/>
      </c>
      <c r="G838">
        <f>IF($A838="","",C838+F838)</f>
        <v/>
      </c>
      <c r="H838">
        <f>IF($A838="","",SUMIFS(Contributions!E:E,Contributions!C:C,$B838,Contributions!F:F,"Reinvest",Contributions!G:G,$A838))</f>
        <v/>
      </c>
      <c r="I838">
        <f>IF($A838="","",G838-H838)</f>
        <v/>
      </c>
    </row>
    <row r="839">
      <c r="C839">
        <f>IF($A839="","",SUMIFS(Contributions!E:E,Contributions!B:B,$A839,Contributions!C:C,$B839))</f>
        <v/>
      </c>
      <c r="D839">
        <f>IF($A839="","",SUMIFS(Contributions!E:E,Contributions!B:B,$A839))</f>
        <v/>
      </c>
      <c r="E839">
        <f>IF($A839="","",XLOOKUP($A839,Returns!A:A,Returns!E:E))</f>
        <v/>
      </c>
      <c r="F839">
        <f>IF(OR($A839="",D839=0),"",C839/D839*E839)</f>
        <v/>
      </c>
      <c r="G839">
        <f>IF($A839="","",C839+F839)</f>
        <v/>
      </c>
      <c r="H839">
        <f>IF($A839="","",SUMIFS(Contributions!E:E,Contributions!C:C,$B839,Contributions!F:F,"Reinvest",Contributions!G:G,$A839))</f>
        <v/>
      </c>
      <c r="I839">
        <f>IF($A839="","",G839-H839)</f>
        <v/>
      </c>
    </row>
    <row r="840">
      <c r="C840">
        <f>IF($A840="","",SUMIFS(Contributions!E:E,Contributions!B:B,$A840,Contributions!C:C,$B840))</f>
        <v/>
      </c>
      <c r="D840">
        <f>IF($A840="","",SUMIFS(Contributions!E:E,Contributions!B:B,$A840))</f>
        <v/>
      </c>
      <c r="E840">
        <f>IF($A840="","",XLOOKUP($A840,Returns!A:A,Returns!E:E))</f>
        <v/>
      </c>
      <c r="F840">
        <f>IF(OR($A840="",D840=0),"",C840/D840*E840)</f>
        <v/>
      </c>
      <c r="G840">
        <f>IF($A840="","",C840+F840)</f>
        <v/>
      </c>
      <c r="H840">
        <f>IF($A840="","",SUMIFS(Contributions!E:E,Contributions!C:C,$B840,Contributions!F:F,"Reinvest",Contributions!G:G,$A840))</f>
        <v/>
      </c>
      <c r="I840">
        <f>IF($A840="","",G840-H840)</f>
        <v/>
      </c>
    </row>
    <row r="841">
      <c r="C841">
        <f>IF($A841="","",SUMIFS(Contributions!E:E,Contributions!B:B,$A841,Contributions!C:C,$B841))</f>
        <v/>
      </c>
      <c r="D841">
        <f>IF($A841="","",SUMIFS(Contributions!E:E,Contributions!B:B,$A841))</f>
        <v/>
      </c>
      <c r="E841">
        <f>IF($A841="","",XLOOKUP($A841,Returns!A:A,Returns!E:E))</f>
        <v/>
      </c>
      <c r="F841">
        <f>IF(OR($A841="",D841=0),"",C841/D841*E841)</f>
        <v/>
      </c>
      <c r="G841">
        <f>IF($A841="","",C841+F841)</f>
        <v/>
      </c>
      <c r="H841">
        <f>IF($A841="","",SUMIFS(Contributions!E:E,Contributions!C:C,$B841,Contributions!F:F,"Reinvest",Contributions!G:G,$A841))</f>
        <v/>
      </c>
      <c r="I841">
        <f>IF($A841="","",G841-H841)</f>
        <v/>
      </c>
    </row>
    <row r="842">
      <c r="C842">
        <f>IF($A842="","",SUMIFS(Contributions!E:E,Contributions!B:B,$A842,Contributions!C:C,$B842))</f>
        <v/>
      </c>
      <c r="D842">
        <f>IF($A842="","",SUMIFS(Contributions!E:E,Contributions!B:B,$A842))</f>
        <v/>
      </c>
      <c r="E842">
        <f>IF($A842="","",XLOOKUP($A842,Returns!A:A,Returns!E:E))</f>
        <v/>
      </c>
      <c r="F842">
        <f>IF(OR($A842="",D842=0),"",C842/D842*E842)</f>
        <v/>
      </c>
      <c r="G842">
        <f>IF($A842="","",C842+F842)</f>
        <v/>
      </c>
      <c r="H842">
        <f>IF($A842="","",SUMIFS(Contributions!E:E,Contributions!C:C,$B842,Contributions!F:F,"Reinvest",Contributions!G:G,$A842))</f>
        <v/>
      </c>
      <c r="I842">
        <f>IF($A842="","",G842-H842)</f>
        <v/>
      </c>
    </row>
    <row r="843">
      <c r="C843">
        <f>IF($A843="","",SUMIFS(Contributions!E:E,Contributions!B:B,$A843,Contributions!C:C,$B843))</f>
        <v/>
      </c>
      <c r="D843">
        <f>IF($A843="","",SUMIFS(Contributions!E:E,Contributions!B:B,$A843))</f>
        <v/>
      </c>
      <c r="E843">
        <f>IF($A843="","",XLOOKUP($A843,Returns!A:A,Returns!E:E))</f>
        <v/>
      </c>
      <c r="F843">
        <f>IF(OR($A843="",D843=0),"",C843/D843*E843)</f>
        <v/>
      </c>
      <c r="G843">
        <f>IF($A843="","",C843+F843)</f>
        <v/>
      </c>
      <c r="H843">
        <f>IF($A843="","",SUMIFS(Contributions!E:E,Contributions!C:C,$B843,Contributions!F:F,"Reinvest",Contributions!G:G,$A843))</f>
        <v/>
      </c>
      <c r="I843">
        <f>IF($A843="","",G843-H843)</f>
        <v/>
      </c>
    </row>
    <row r="844">
      <c r="C844">
        <f>IF($A844="","",SUMIFS(Contributions!E:E,Contributions!B:B,$A844,Contributions!C:C,$B844))</f>
        <v/>
      </c>
      <c r="D844">
        <f>IF($A844="","",SUMIFS(Contributions!E:E,Contributions!B:B,$A844))</f>
        <v/>
      </c>
      <c r="E844">
        <f>IF($A844="","",XLOOKUP($A844,Returns!A:A,Returns!E:E))</f>
        <v/>
      </c>
      <c r="F844">
        <f>IF(OR($A844="",D844=0),"",C844/D844*E844)</f>
        <v/>
      </c>
      <c r="G844">
        <f>IF($A844="","",C844+F844)</f>
        <v/>
      </c>
      <c r="H844">
        <f>IF($A844="","",SUMIFS(Contributions!E:E,Contributions!C:C,$B844,Contributions!F:F,"Reinvest",Contributions!G:G,$A844))</f>
        <v/>
      </c>
      <c r="I844">
        <f>IF($A844="","",G844-H844)</f>
        <v/>
      </c>
    </row>
    <row r="845">
      <c r="C845">
        <f>IF($A845="","",SUMIFS(Contributions!E:E,Contributions!B:B,$A845,Contributions!C:C,$B845))</f>
        <v/>
      </c>
      <c r="D845">
        <f>IF($A845="","",SUMIFS(Contributions!E:E,Contributions!B:B,$A845))</f>
        <v/>
      </c>
      <c r="E845">
        <f>IF($A845="","",XLOOKUP($A845,Returns!A:A,Returns!E:E))</f>
        <v/>
      </c>
      <c r="F845">
        <f>IF(OR($A845="",D845=0),"",C845/D845*E845)</f>
        <v/>
      </c>
      <c r="G845">
        <f>IF($A845="","",C845+F845)</f>
        <v/>
      </c>
      <c r="H845">
        <f>IF($A845="","",SUMIFS(Contributions!E:E,Contributions!C:C,$B845,Contributions!F:F,"Reinvest",Contributions!G:G,$A845))</f>
        <v/>
      </c>
      <c r="I845">
        <f>IF($A845="","",G845-H845)</f>
        <v/>
      </c>
    </row>
    <row r="846">
      <c r="C846">
        <f>IF($A846="","",SUMIFS(Contributions!E:E,Contributions!B:B,$A846,Contributions!C:C,$B846))</f>
        <v/>
      </c>
      <c r="D846">
        <f>IF($A846="","",SUMIFS(Contributions!E:E,Contributions!B:B,$A846))</f>
        <v/>
      </c>
      <c r="E846">
        <f>IF($A846="","",XLOOKUP($A846,Returns!A:A,Returns!E:E))</f>
        <v/>
      </c>
      <c r="F846">
        <f>IF(OR($A846="",D846=0),"",C846/D846*E846)</f>
        <v/>
      </c>
      <c r="G846">
        <f>IF($A846="","",C846+F846)</f>
        <v/>
      </c>
      <c r="H846">
        <f>IF($A846="","",SUMIFS(Contributions!E:E,Contributions!C:C,$B846,Contributions!F:F,"Reinvest",Contributions!G:G,$A846))</f>
        <v/>
      </c>
      <c r="I846">
        <f>IF($A846="","",G846-H846)</f>
        <v/>
      </c>
    </row>
    <row r="847">
      <c r="C847">
        <f>IF($A847="","",SUMIFS(Contributions!E:E,Contributions!B:B,$A847,Contributions!C:C,$B847))</f>
        <v/>
      </c>
      <c r="D847">
        <f>IF($A847="","",SUMIFS(Contributions!E:E,Contributions!B:B,$A847))</f>
        <v/>
      </c>
      <c r="E847">
        <f>IF($A847="","",XLOOKUP($A847,Returns!A:A,Returns!E:E))</f>
        <v/>
      </c>
      <c r="F847">
        <f>IF(OR($A847="",D847=0),"",C847/D847*E847)</f>
        <v/>
      </c>
      <c r="G847">
        <f>IF($A847="","",C847+F847)</f>
        <v/>
      </c>
      <c r="H847">
        <f>IF($A847="","",SUMIFS(Contributions!E:E,Contributions!C:C,$B847,Contributions!F:F,"Reinvest",Contributions!G:G,$A847))</f>
        <v/>
      </c>
      <c r="I847">
        <f>IF($A847="","",G847-H847)</f>
        <v/>
      </c>
    </row>
    <row r="848">
      <c r="C848">
        <f>IF($A848="","",SUMIFS(Contributions!E:E,Contributions!B:B,$A848,Contributions!C:C,$B848))</f>
        <v/>
      </c>
      <c r="D848">
        <f>IF($A848="","",SUMIFS(Contributions!E:E,Contributions!B:B,$A848))</f>
        <v/>
      </c>
      <c r="E848">
        <f>IF($A848="","",XLOOKUP($A848,Returns!A:A,Returns!E:E))</f>
        <v/>
      </c>
      <c r="F848">
        <f>IF(OR($A848="",D848=0),"",C848/D848*E848)</f>
        <v/>
      </c>
      <c r="G848">
        <f>IF($A848="","",C848+F848)</f>
        <v/>
      </c>
      <c r="H848">
        <f>IF($A848="","",SUMIFS(Contributions!E:E,Contributions!C:C,$B848,Contributions!F:F,"Reinvest",Contributions!G:G,$A848))</f>
        <v/>
      </c>
      <c r="I848">
        <f>IF($A848="","",G848-H848)</f>
        <v/>
      </c>
    </row>
    <row r="849">
      <c r="C849">
        <f>IF($A849="","",SUMIFS(Contributions!E:E,Contributions!B:B,$A849,Contributions!C:C,$B849))</f>
        <v/>
      </c>
      <c r="D849">
        <f>IF($A849="","",SUMIFS(Contributions!E:E,Contributions!B:B,$A849))</f>
        <v/>
      </c>
      <c r="E849">
        <f>IF($A849="","",XLOOKUP($A849,Returns!A:A,Returns!E:E))</f>
        <v/>
      </c>
      <c r="F849">
        <f>IF(OR($A849="",D849=0),"",C849/D849*E849)</f>
        <v/>
      </c>
      <c r="G849">
        <f>IF($A849="","",C849+F849)</f>
        <v/>
      </c>
      <c r="H849">
        <f>IF($A849="","",SUMIFS(Contributions!E:E,Contributions!C:C,$B849,Contributions!F:F,"Reinvest",Contributions!G:G,$A849))</f>
        <v/>
      </c>
      <c r="I849">
        <f>IF($A849="","",G849-H849)</f>
        <v/>
      </c>
    </row>
    <row r="850">
      <c r="C850">
        <f>IF($A850="","",SUMIFS(Contributions!E:E,Contributions!B:B,$A850,Contributions!C:C,$B850))</f>
        <v/>
      </c>
      <c r="D850">
        <f>IF($A850="","",SUMIFS(Contributions!E:E,Contributions!B:B,$A850))</f>
        <v/>
      </c>
      <c r="E850">
        <f>IF($A850="","",XLOOKUP($A850,Returns!A:A,Returns!E:E))</f>
        <v/>
      </c>
      <c r="F850">
        <f>IF(OR($A850="",D850=0),"",C850/D850*E850)</f>
        <v/>
      </c>
      <c r="G850">
        <f>IF($A850="","",C850+F850)</f>
        <v/>
      </c>
      <c r="H850">
        <f>IF($A850="","",SUMIFS(Contributions!E:E,Contributions!C:C,$B850,Contributions!F:F,"Reinvest",Contributions!G:G,$A850))</f>
        <v/>
      </c>
      <c r="I850">
        <f>IF($A850="","",G850-H850)</f>
        <v/>
      </c>
    </row>
    <row r="851">
      <c r="C851">
        <f>IF($A851="","",SUMIFS(Contributions!E:E,Contributions!B:B,$A851,Contributions!C:C,$B851))</f>
        <v/>
      </c>
      <c r="D851">
        <f>IF($A851="","",SUMIFS(Contributions!E:E,Contributions!B:B,$A851))</f>
        <v/>
      </c>
      <c r="E851">
        <f>IF($A851="","",XLOOKUP($A851,Returns!A:A,Returns!E:E))</f>
        <v/>
      </c>
      <c r="F851">
        <f>IF(OR($A851="",D851=0),"",C851/D851*E851)</f>
        <v/>
      </c>
      <c r="G851">
        <f>IF($A851="","",C851+F851)</f>
        <v/>
      </c>
      <c r="H851">
        <f>IF($A851="","",SUMIFS(Contributions!E:E,Contributions!C:C,$B851,Contributions!F:F,"Reinvest",Contributions!G:G,$A851))</f>
        <v/>
      </c>
      <c r="I851">
        <f>IF($A851="","",G851-H851)</f>
        <v/>
      </c>
    </row>
    <row r="852">
      <c r="C852">
        <f>IF($A852="","",SUMIFS(Contributions!E:E,Contributions!B:B,$A852,Contributions!C:C,$B852))</f>
        <v/>
      </c>
      <c r="D852">
        <f>IF($A852="","",SUMIFS(Contributions!E:E,Contributions!B:B,$A852))</f>
        <v/>
      </c>
      <c r="E852">
        <f>IF($A852="","",XLOOKUP($A852,Returns!A:A,Returns!E:E))</f>
        <v/>
      </c>
      <c r="F852">
        <f>IF(OR($A852="",D852=0),"",C852/D852*E852)</f>
        <v/>
      </c>
      <c r="G852">
        <f>IF($A852="","",C852+F852)</f>
        <v/>
      </c>
      <c r="H852">
        <f>IF($A852="","",SUMIFS(Contributions!E:E,Contributions!C:C,$B852,Contributions!F:F,"Reinvest",Contributions!G:G,$A852))</f>
        <v/>
      </c>
      <c r="I852">
        <f>IF($A852="","",G852-H852)</f>
        <v/>
      </c>
    </row>
    <row r="853">
      <c r="C853">
        <f>IF($A853="","",SUMIFS(Contributions!E:E,Contributions!B:B,$A853,Contributions!C:C,$B853))</f>
        <v/>
      </c>
      <c r="D853">
        <f>IF($A853="","",SUMIFS(Contributions!E:E,Contributions!B:B,$A853))</f>
        <v/>
      </c>
      <c r="E853">
        <f>IF($A853="","",XLOOKUP($A853,Returns!A:A,Returns!E:E))</f>
        <v/>
      </c>
      <c r="F853">
        <f>IF(OR($A853="",D853=0),"",C853/D853*E853)</f>
        <v/>
      </c>
      <c r="G853">
        <f>IF($A853="","",C853+F853)</f>
        <v/>
      </c>
      <c r="H853">
        <f>IF($A853="","",SUMIFS(Contributions!E:E,Contributions!C:C,$B853,Contributions!F:F,"Reinvest",Contributions!G:G,$A853))</f>
        <v/>
      </c>
      <c r="I853">
        <f>IF($A853="","",G853-H853)</f>
        <v/>
      </c>
    </row>
    <row r="854">
      <c r="C854">
        <f>IF($A854="","",SUMIFS(Contributions!E:E,Contributions!B:B,$A854,Contributions!C:C,$B854))</f>
        <v/>
      </c>
      <c r="D854">
        <f>IF($A854="","",SUMIFS(Contributions!E:E,Contributions!B:B,$A854))</f>
        <v/>
      </c>
      <c r="E854">
        <f>IF($A854="","",XLOOKUP($A854,Returns!A:A,Returns!E:E))</f>
        <v/>
      </c>
      <c r="F854">
        <f>IF(OR($A854="",D854=0),"",C854/D854*E854)</f>
        <v/>
      </c>
      <c r="G854">
        <f>IF($A854="","",C854+F854)</f>
        <v/>
      </c>
      <c r="H854">
        <f>IF($A854="","",SUMIFS(Contributions!E:E,Contributions!C:C,$B854,Contributions!F:F,"Reinvest",Contributions!G:G,$A854))</f>
        <v/>
      </c>
      <c r="I854">
        <f>IF($A854="","",G854-H854)</f>
        <v/>
      </c>
    </row>
    <row r="855">
      <c r="C855">
        <f>IF($A855="","",SUMIFS(Contributions!E:E,Contributions!B:B,$A855,Contributions!C:C,$B855))</f>
        <v/>
      </c>
      <c r="D855">
        <f>IF($A855="","",SUMIFS(Contributions!E:E,Contributions!B:B,$A855))</f>
        <v/>
      </c>
      <c r="E855">
        <f>IF($A855="","",XLOOKUP($A855,Returns!A:A,Returns!E:E))</f>
        <v/>
      </c>
      <c r="F855">
        <f>IF(OR($A855="",D855=0),"",C855/D855*E855)</f>
        <v/>
      </c>
      <c r="G855">
        <f>IF($A855="","",C855+F855)</f>
        <v/>
      </c>
      <c r="H855">
        <f>IF($A855="","",SUMIFS(Contributions!E:E,Contributions!C:C,$B855,Contributions!F:F,"Reinvest",Contributions!G:G,$A855))</f>
        <v/>
      </c>
      <c r="I855">
        <f>IF($A855="","",G855-H855)</f>
        <v/>
      </c>
    </row>
    <row r="856">
      <c r="C856">
        <f>IF($A856="","",SUMIFS(Contributions!E:E,Contributions!B:B,$A856,Contributions!C:C,$B856))</f>
        <v/>
      </c>
      <c r="D856">
        <f>IF($A856="","",SUMIFS(Contributions!E:E,Contributions!B:B,$A856))</f>
        <v/>
      </c>
      <c r="E856">
        <f>IF($A856="","",XLOOKUP($A856,Returns!A:A,Returns!E:E))</f>
        <v/>
      </c>
      <c r="F856">
        <f>IF(OR($A856="",D856=0),"",C856/D856*E856)</f>
        <v/>
      </c>
      <c r="G856">
        <f>IF($A856="","",C856+F856)</f>
        <v/>
      </c>
      <c r="H856">
        <f>IF($A856="","",SUMIFS(Contributions!E:E,Contributions!C:C,$B856,Contributions!F:F,"Reinvest",Contributions!G:G,$A856))</f>
        <v/>
      </c>
      <c r="I856">
        <f>IF($A856="","",G856-H856)</f>
        <v/>
      </c>
    </row>
    <row r="857">
      <c r="C857">
        <f>IF($A857="","",SUMIFS(Contributions!E:E,Contributions!B:B,$A857,Contributions!C:C,$B857))</f>
        <v/>
      </c>
      <c r="D857">
        <f>IF($A857="","",SUMIFS(Contributions!E:E,Contributions!B:B,$A857))</f>
        <v/>
      </c>
      <c r="E857">
        <f>IF($A857="","",XLOOKUP($A857,Returns!A:A,Returns!E:E))</f>
        <v/>
      </c>
      <c r="F857">
        <f>IF(OR($A857="",D857=0),"",C857/D857*E857)</f>
        <v/>
      </c>
      <c r="G857">
        <f>IF($A857="","",C857+F857)</f>
        <v/>
      </c>
      <c r="H857">
        <f>IF($A857="","",SUMIFS(Contributions!E:E,Contributions!C:C,$B857,Contributions!F:F,"Reinvest",Contributions!G:G,$A857))</f>
        <v/>
      </c>
      <c r="I857">
        <f>IF($A857="","",G857-H857)</f>
        <v/>
      </c>
    </row>
    <row r="858">
      <c r="C858">
        <f>IF($A858="","",SUMIFS(Contributions!E:E,Contributions!B:B,$A858,Contributions!C:C,$B858))</f>
        <v/>
      </c>
      <c r="D858">
        <f>IF($A858="","",SUMIFS(Contributions!E:E,Contributions!B:B,$A858))</f>
        <v/>
      </c>
      <c r="E858">
        <f>IF($A858="","",XLOOKUP($A858,Returns!A:A,Returns!E:E))</f>
        <v/>
      </c>
      <c r="F858">
        <f>IF(OR($A858="",D858=0),"",C858/D858*E858)</f>
        <v/>
      </c>
      <c r="G858">
        <f>IF($A858="","",C858+F858)</f>
        <v/>
      </c>
      <c r="H858">
        <f>IF($A858="","",SUMIFS(Contributions!E:E,Contributions!C:C,$B858,Contributions!F:F,"Reinvest",Contributions!G:G,$A858))</f>
        <v/>
      </c>
      <c r="I858">
        <f>IF($A858="","",G858-H858)</f>
        <v/>
      </c>
    </row>
    <row r="859">
      <c r="C859">
        <f>IF($A859="","",SUMIFS(Contributions!E:E,Contributions!B:B,$A859,Contributions!C:C,$B859))</f>
        <v/>
      </c>
      <c r="D859">
        <f>IF($A859="","",SUMIFS(Contributions!E:E,Contributions!B:B,$A859))</f>
        <v/>
      </c>
      <c r="E859">
        <f>IF($A859="","",XLOOKUP($A859,Returns!A:A,Returns!E:E))</f>
        <v/>
      </c>
      <c r="F859">
        <f>IF(OR($A859="",D859=0),"",C859/D859*E859)</f>
        <v/>
      </c>
      <c r="G859">
        <f>IF($A859="","",C859+F859)</f>
        <v/>
      </c>
      <c r="H859">
        <f>IF($A859="","",SUMIFS(Contributions!E:E,Contributions!C:C,$B859,Contributions!F:F,"Reinvest",Contributions!G:G,$A859))</f>
        <v/>
      </c>
      <c r="I859">
        <f>IF($A859="","",G859-H859)</f>
        <v/>
      </c>
    </row>
    <row r="860">
      <c r="C860">
        <f>IF($A860="","",SUMIFS(Contributions!E:E,Contributions!B:B,$A860,Contributions!C:C,$B860))</f>
        <v/>
      </c>
      <c r="D860">
        <f>IF($A860="","",SUMIFS(Contributions!E:E,Contributions!B:B,$A860))</f>
        <v/>
      </c>
      <c r="E860">
        <f>IF($A860="","",XLOOKUP($A860,Returns!A:A,Returns!E:E))</f>
        <v/>
      </c>
      <c r="F860">
        <f>IF(OR($A860="",D860=0),"",C860/D860*E860)</f>
        <v/>
      </c>
      <c r="G860">
        <f>IF($A860="","",C860+F860)</f>
        <v/>
      </c>
      <c r="H860">
        <f>IF($A860="","",SUMIFS(Contributions!E:E,Contributions!C:C,$B860,Contributions!F:F,"Reinvest",Contributions!G:G,$A860))</f>
        <v/>
      </c>
      <c r="I860">
        <f>IF($A860="","",G860-H860)</f>
        <v/>
      </c>
    </row>
    <row r="861">
      <c r="C861">
        <f>IF($A861="","",SUMIFS(Contributions!E:E,Contributions!B:B,$A861,Contributions!C:C,$B861))</f>
        <v/>
      </c>
      <c r="D861">
        <f>IF($A861="","",SUMIFS(Contributions!E:E,Contributions!B:B,$A861))</f>
        <v/>
      </c>
      <c r="E861">
        <f>IF($A861="","",XLOOKUP($A861,Returns!A:A,Returns!E:E))</f>
        <v/>
      </c>
      <c r="F861">
        <f>IF(OR($A861="",D861=0),"",C861/D861*E861)</f>
        <v/>
      </c>
      <c r="G861">
        <f>IF($A861="","",C861+F861)</f>
        <v/>
      </c>
      <c r="H861">
        <f>IF($A861="","",SUMIFS(Contributions!E:E,Contributions!C:C,$B861,Contributions!F:F,"Reinvest",Contributions!G:G,$A861))</f>
        <v/>
      </c>
      <c r="I861">
        <f>IF($A861="","",G861-H861)</f>
        <v/>
      </c>
    </row>
    <row r="862">
      <c r="C862">
        <f>IF($A862="","",SUMIFS(Contributions!E:E,Contributions!B:B,$A862,Contributions!C:C,$B862))</f>
        <v/>
      </c>
      <c r="D862">
        <f>IF($A862="","",SUMIFS(Contributions!E:E,Contributions!B:B,$A862))</f>
        <v/>
      </c>
      <c r="E862">
        <f>IF($A862="","",XLOOKUP($A862,Returns!A:A,Returns!E:E))</f>
        <v/>
      </c>
      <c r="F862">
        <f>IF(OR($A862="",D862=0),"",C862/D862*E862)</f>
        <v/>
      </c>
      <c r="G862">
        <f>IF($A862="","",C862+F862)</f>
        <v/>
      </c>
      <c r="H862">
        <f>IF($A862="","",SUMIFS(Contributions!E:E,Contributions!C:C,$B862,Contributions!F:F,"Reinvest",Contributions!G:G,$A862))</f>
        <v/>
      </c>
      <c r="I862">
        <f>IF($A862="","",G862-H862)</f>
        <v/>
      </c>
    </row>
    <row r="863">
      <c r="C863">
        <f>IF($A863="","",SUMIFS(Contributions!E:E,Contributions!B:B,$A863,Contributions!C:C,$B863))</f>
        <v/>
      </c>
      <c r="D863">
        <f>IF($A863="","",SUMIFS(Contributions!E:E,Contributions!B:B,$A863))</f>
        <v/>
      </c>
      <c r="E863">
        <f>IF($A863="","",XLOOKUP($A863,Returns!A:A,Returns!E:E))</f>
        <v/>
      </c>
      <c r="F863">
        <f>IF(OR($A863="",D863=0),"",C863/D863*E863)</f>
        <v/>
      </c>
      <c r="G863">
        <f>IF($A863="","",C863+F863)</f>
        <v/>
      </c>
      <c r="H863">
        <f>IF($A863="","",SUMIFS(Contributions!E:E,Contributions!C:C,$B863,Contributions!F:F,"Reinvest",Contributions!G:G,$A863))</f>
        <v/>
      </c>
      <c r="I863">
        <f>IF($A863="","",G863-H863)</f>
        <v/>
      </c>
    </row>
    <row r="864">
      <c r="C864">
        <f>IF($A864="","",SUMIFS(Contributions!E:E,Contributions!B:B,$A864,Contributions!C:C,$B864))</f>
        <v/>
      </c>
      <c r="D864">
        <f>IF($A864="","",SUMIFS(Contributions!E:E,Contributions!B:B,$A864))</f>
        <v/>
      </c>
      <c r="E864">
        <f>IF($A864="","",XLOOKUP($A864,Returns!A:A,Returns!E:E))</f>
        <v/>
      </c>
      <c r="F864">
        <f>IF(OR($A864="",D864=0),"",C864/D864*E864)</f>
        <v/>
      </c>
      <c r="G864">
        <f>IF($A864="","",C864+F864)</f>
        <v/>
      </c>
      <c r="H864">
        <f>IF($A864="","",SUMIFS(Contributions!E:E,Contributions!C:C,$B864,Contributions!F:F,"Reinvest",Contributions!G:G,$A864))</f>
        <v/>
      </c>
      <c r="I864">
        <f>IF($A864="","",G864-H864)</f>
        <v/>
      </c>
    </row>
    <row r="865">
      <c r="C865">
        <f>IF($A865="","",SUMIFS(Contributions!E:E,Contributions!B:B,$A865,Contributions!C:C,$B865))</f>
        <v/>
      </c>
      <c r="D865">
        <f>IF($A865="","",SUMIFS(Contributions!E:E,Contributions!B:B,$A865))</f>
        <v/>
      </c>
      <c r="E865">
        <f>IF($A865="","",XLOOKUP($A865,Returns!A:A,Returns!E:E))</f>
        <v/>
      </c>
      <c r="F865">
        <f>IF(OR($A865="",D865=0),"",C865/D865*E865)</f>
        <v/>
      </c>
      <c r="G865">
        <f>IF($A865="","",C865+F865)</f>
        <v/>
      </c>
      <c r="H865">
        <f>IF($A865="","",SUMIFS(Contributions!E:E,Contributions!C:C,$B865,Contributions!F:F,"Reinvest",Contributions!G:G,$A865))</f>
        <v/>
      </c>
      <c r="I865">
        <f>IF($A865="","",G865-H865)</f>
        <v/>
      </c>
    </row>
    <row r="866">
      <c r="C866">
        <f>IF($A866="","",SUMIFS(Contributions!E:E,Contributions!B:B,$A866,Contributions!C:C,$B866))</f>
        <v/>
      </c>
      <c r="D866">
        <f>IF($A866="","",SUMIFS(Contributions!E:E,Contributions!B:B,$A866))</f>
        <v/>
      </c>
      <c r="E866">
        <f>IF($A866="","",XLOOKUP($A866,Returns!A:A,Returns!E:E))</f>
        <v/>
      </c>
      <c r="F866">
        <f>IF(OR($A866="",D866=0),"",C866/D866*E866)</f>
        <v/>
      </c>
      <c r="G866">
        <f>IF($A866="","",C866+F866)</f>
        <v/>
      </c>
      <c r="H866">
        <f>IF($A866="","",SUMIFS(Contributions!E:E,Contributions!C:C,$B866,Contributions!F:F,"Reinvest",Contributions!G:G,$A866))</f>
        <v/>
      </c>
      <c r="I866">
        <f>IF($A866="","",G866-H866)</f>
        <v/>
      </c>
    </row>
    <row r="867">
      <c r="C867">
        <f>IF($A867="","",SUMIFS(Contributions!E:E,Contributions!B:B,$A867,Contributions!C:C,$B867))</f>
        <v/>
      </c>
      <c r="D867">
        <f>IF($A867="","",SUMIFS(Contributions!E:E,Contributions!B:B,$A867))</f>
        <v/>
      </c>
      <c r="E867">
        <f>IF($A867="","",XLOOKUP($A867,Returns!A:A,Returns!E:E))</f>
        <v/>
      </c>
      <c r="F867">
        <f>IF(OR($A867="",D867=0),"",C867/D867*E867)</f>
        <v/>
      </c>
      <c r="G867">
        <f>IF($A867="","",C867+F867)</f>
        <v/>
      </c>
      <c r="H867">
        <f>IF($A867="","",SUMIFS(Contributions!E:E,Contributions!C:C,$B867,Contributions!F:F,"Reinvest",Contributions!G:G,$A867))</f>
        <v/>
      </c>
      <c r="I867">
        <f>IF($A867="","",G867-H867)</f>
        <v/>
      </c>
    </row>
    <row r="868">
      <c r="C868">
        <f>IF($A868="","",SUMIFS(Contributions!E:E,Contributions!B:B,$A868,Contributions!C:C,$B868))</f>
        <v/>
      </c>
      <c r="D868">
        <f>IF($A868="","",SUMIFS(Contributions!E:E,Contributions!B:B,$A868))</f>
        <v/>
      </c>
      <c r="E868">
        <f>IF($A868="","",XLOOKUP($A868,Returns!A:A,Returns!E:E))</f>
        <v/>
      </c>
      <c r="F868">
        <f>IF(OR($A868="",D868=0),"",C868/D868*E868)</f>
        <v/>
      </c>
      <c r="G868">
        <f>IF($A868="","",C868+F868)</f>
        <v/>
      </c>
      <c r="H868">
        <f>IF($A868="","",SUMIFS(Contributions!E:E,Contributions!C:C,$B868,Contributions!F:F,"Reinvest",Contributions!G:G,$A868))</f>
        <v/>
      </c>
      <c r="I868">
        <f>IF($A868="","",G868-H868)</f>
        <v/>
      </c>
    </row>
    <row r="869">
      <c r="C869">
        <f>IF($A869="","",SUMIFS(Contributions!E:E,Contributions!B:B,$A869,Contributions!C:C,$B869))</f>
        <v/>
      </c>
      <c r="D869">
        <f>IF($A869="","",SUMIFS(Contributions!E:E,Contributions!B:B,$A869))</f>
        <v/>
      </c>
      <c r="E869">
        <f>IF($A869="","",XLOOKUP($A869,Returns!A:A,Returns!E:E))</f>
        <v/>
      </c>
      <c r="F869">
        <f>IF(OR($A869="",D869=0),"",C869/D869*E869)</f>
        <v/>
      </c>
      <c r="G869">
        <f>IF($A869="","",C869+F869)</f>
        <v/>
      </c>
      <c r="H869">
        <f>IF($A869="","",SUMIFS(Contributions!E:E,Contributions!C:C,$B869,Contributions!F:F,"Reinvest",Contributions!G:G,$A869))</f>
        <v/>
      </c>
      <c r="I869">
        <f>IF($A869="","",G869-H869)</f>
        <v/>
      </c>
    </row>
    <row r="870">
      <c r="C870">
        <f>IF($A870="","",SUMIFS(Contributions!E:E,Contributions!B:B,$A870,Contributions!C:C,$B870))</f>
        <v/>
      </c>
      <c r="D870">
        <f>IF($A870="","",SUMIFS(Contributions!E:E,Contributions!B:B,$A870))</f>
        <v/>
      </c>
      <c r="E870">
        <f>IF($A870="","",XLOOKUP($A870,Returns!A:A,Returns!E:E))</f>
        <v/>
      </c>
      <c r="F870">
        <f>IF(OR($A870="",D870=0),"",C870/D870*E870)</f>
        <v/>
      </c>
      <c r="G870">
        <f>IF($A870="","",C870+F870)</f>
        <v/>
      </c>
      <c r="H870">
        <f>IF($A870="","",SUMIFS(Contributions!E:E,Contributions!C:C,$B870,Contributions!F:F,"Reinvest",Contributions!G:G,$A870))</f>
        <v/>
      </c>
      <c r="I870">
        <f>IF($A870="","",G870-H870)</f>
        <v/>
      </c>
    </row>
    <row r="871">
      <c r="C871">
        <f>IF($A871="","",SUMIFS(Contributions!E:E,Contributions!B:B,$A871,Contributions!C:C,$B871))</f>
        <v/>
      </c>
      <c r="D871">
        <f>IF($A871="","",SUMIFS(Contributions!E:E,Contributions!B:B,$A871))</f>
        <v/>
      </c>
      <c r="E871">
        <f>IF($A871="","",XLOOKUP($A871,Returns!A:A,Returns!E:E))</f>
        <v/>
      </c>
      <c r="F871">
        <f>IF(OR($A871="",D871=0),"",C871/D871*E871)</f>
        <v/>
      </c>
      <c r="G871">
        <f>IF($A871="","",C871+F871)</f>
        <v/>
      </c>
      <c r="H871">
        <f>IF($A871="","",SUMIFS(Contributions!E:E,Contributions!C:C,$B871,Contributions!F:F,"Reinvest",Contributions!G:G,$A871))</f>
        <v/>
      </c>
      <c r="I871">
        <f>IF($A871="","",G871-H871)</f>
        <v/>
      </c>
    </row>
    <row r="872">
      <c r="C872">
        <f>IF($A872="","",SUMIFS(Contributions!E:E,Contributions!B:B,$A872,Contributions!C:C,$B872))</f>
        <v/>
      </c>
      <c r="D872">
        <f>IF($A872="","",SUMIFS(Contributions!E:E,Contributions!B:B,$A872))</f>
        <v/>
      </c>
      <c r="E872">
        <f>IF($A872="","",XLOOKUP($A872,Returns!A:A,Returns!E:E))</f>
        <v/>
      </c>
      <c r="F872">
        <f>IF(OR($A872="",D872=0),"",C872/D872*E872)</f>
        <v/>
      </c>
      <c r="G872">
        <f>IF($A872="","",C872+F872)</f>
        <v/>
      </c>
      <c r="H872">
        <f>IF($A872="","",SUMIFS(Contributions!E:E,Contributions!C:C,$B872,Contributions!F:F,"Reinvest",Contributions!G:G,$A872))</f>
        <v/>
      </c>
      <c r="I872">
        <f>IF($A872="","",G872-H872)</f>
        <v/>
      </c>
    </row>
    <row r="873">
      <c r="C873">
        <f>IF($A873="","",SUMIFS(Contributions!E:E,Contributions!B:B,$A873,Contributions!C:C,$B873))</f>
        <v/>
      </c>
      <c r="D873">
        <f>IF($A873="","",SUMIFS(Contributions!E:E,Contributions!B:B,$A873))</f>
        <v/>
      </c>
      <c r="E873">
        <f>IF($A873="","",XLOOKUP($A873,Returns!A:A,Returns!E:E))</f>
        <v/>
      </c>
      <c r="F873">
        <f>IF(OR($A873="",D873=0),"",C873/D873*E873)</f>
        <v/>
      </c>
      <c r="G873">
        <f>IF($A873="","",C873+F873)</f>
        <v/>
      </c>
      <c r="H873">
        <f>IF($A873="","",SUMIFS(Contributions!E:E,Contributions!C:C,$B873,Contributions!F:F,"Reinvest",Contributions!G:G,$A873))</f>
        <v/>
      </c>
      <c r="I873">
        <f>IF($A873="","",G873-H873)</f>
        <v/>
      </c>
    </row>
    <row r="874">
      <c r="C874">
        <f>IF($A874="","",SUMIFS(Contributions!E:E,Contributions!B:B,$A874,Contributions!C:C,$B874))</f>
        <v/>
      </c>
      <c r="D874">
        <f>IF($A874="","",SUMIFS(Contributions!E:E,Contributions!B:B,$A874))</f>
        <v/>
      </c>
      <c r="E874">
        <f>IF($A874="","",XLOOKUP($A874,Returns!A:A,Returns!E:E))</f>
        <v/>
      </c>
      <c r="F874">
        <f>IF(OR($A874="",D874=0),"",C874/D874*E874)</f>
        <v/>
      </c>
      <c r="G874">
        <f>IF($A874="","",C874+F874)</f>
        <v/>
      </c>
      <c r="H874">
        <f>IF($A874="","",SUMIFS(Contributions!E:E,Contributions!C:C,$B874,Contributions!F:F,"Reinvest",Contributions!G:G,$A874))</f>
        <v/>
      </c>
      <c r="I874">
        <f>IF($A874="","",G874-H874)</f>
        <v/>
      </c>
    </row>
    <row r="875">
      <c r="C875">
        <f>IF($A875="","",SUMIFS(Contributions!E:E,Contributions!B:B,$A875,Contributions!C:C,$B875))</f>
        <v/>
      </c>
      <c r="D875">
        <f>IF($A875="","",SUMIFS(Contributions!E:E,Contributions!B:B,$A875))</f>
        <v/>
      </c>
      <c r="E875">
        <f>IF($A875="","",XLOOKUP($A875,Returns!A:A,Returns!E:E))</f>
        <v/>
      </c>
      <c r="F875">
        <f>IF(OR($A875="",D875=0),"",C875/D875*E875)</f>
        <v/>
      </c>
      <c r="G875">
        <f>IF($A875="","",C875+F875)</f>
        <v/>
      </c>
      <c r="H875">
        <f>IF($A875="","",SUMIFS(Contributions!E:E,Contributions!C:C,$B875,Contributions!F:F,"Reinvest",Contributions!G:G,$A875))</f>
        <v/>
      </c>
      <c r="I875">
        <f>IF($A875="","",G875-H875)</f>
        <v/>
      </c>
    </row>
    <row r="876">
      <c r="C876">
        <f>IF($A876="","",SUMIFS(Contributions!E:E,Contributions!B:B,$A876,Contributions!C:C,$B876))</f>
        <v/>
      </c>
      <c r="D876">
        <f>IF($A876="","",SUMIFS(Contributions!E:E,Contributions!B:B,$A876))</f>
        <v/>
      </c>
      <c r="E876">
        <f>IF($A876="","",XLOOKUP($A876,Returns!A:A,Returns!E:E))</f>
        <v/>
      </c>
      <c r="F876">
        <f>IF(OR($A876="",D876=0),"",C876/D876*E876)</f>
        <v/>
      </c>
      <c r="G876">
        <f>IF($A876="","",C876+F876)</f>
        <v/>
      </c>
      <c r="H876">
        <f>IF($A876="","",SUMIFS(Contributions!E:E,Contributions!C:C,$B876,Contributions!F:F,"Reinvest",Contributions!G:G,$A876))</f>
        <v/>
      </c>
      <c r="I876">
        <f>IF($A876="","",G876-H876)</f>
        <v/>
      </c>
    </row>
    <row r="877">
      <c r="C877">
        <f>IF($A877="","",SUMIFS(Contributions!E:E,Contributions!B:B,$A877,Contributions!C:C,$B877))</f>
        <v/>
      </c>
      <c r="D877">
        <f>IF($A877="","",SUMIFS(Contributions!E:E,Contributions!B:B,$A877))</f>
        <v/>
      </c>
      <c r="E877">
        <f>IF($A877="","",XLOOKUP($A877,Returns!A:A,Returns!E:E))</f>
        <v/>
      </c>
      <c r="F877">
        <f>IF(OR($A877="",D877=0),"",C877/D877*E877)</f>
        <v/>
      </c>
      <c r="G877">
        <f>IF($A877="","",C877+F877)</f>
        <v/>
      </c>
      <c r="H877">
        <f>IF($A877="","",SUMIFS(Contributions!E:E,Contributions!C:C,$B877,Contributions!F:F,"Reinvest",Contributions!G:G,$A877))</f>
        <v/>
      </c>
      <c r="I877">
        <f>IF($A877="","",G877-H877)</f>
        <v/>
      </c>
    </row>
    <row r="878">
      <c r="C878">
        <f>IF($A878="","",SUMIFS(Contributions!E:E,Contributions!B:B,$A878,Contributions!C:C,$B878))</f>
        <v/>
      </c>
      <c r="D878">
        <f>IF($A878="","",SUMIFS(Contributions!E:E,Contributions!B:B,$A878))</f>
        <v/>
      </c>
      <c r="E878">
        <f>IF($A878="","",XLOOKUP($A878,Returns!A:A,Returns!E:E))</f>
        <v/>
      </c>
      <c r="F878">
        <f>IF(OR($A878="",D878=0),"",C878/D878*E878)</f>
        <v/>
      </c>
      <c r="G878">
        <f>IF($A878="","",C878+F878)</f>
        <v/>
      </c>
      <c r="H878">
        <f>IF($A878="","",SUMIFS(Contributions!E:E,Contributions!C:C,$B878,Contributions!F:F,"Reinvest",Contributions!G:G,$A878))</f>
        <v/>
      </c>
      <c r="I878">
        <f>IF($A878="","",G878-H878)</f>
        <v/>
      </c>
    </row>
    <row r="879">
      <c r="C879">
        <f>IF($A879="","",SUMIFS(Contributions!E:E,Contributions!B:B,$A879,Contributions!C:C,$B879))</f>
        <v/>
      </c>
      <c r="D879">
        <f>IF($A879="","",SUMIFS(Contributions!E:E,Contributions!B:B,$A879))</f>
        <v/>
      </c>
      <c r="E879">
        <f>IF($A879="","",XLOOKUP($A879,Returns!A:A,Returns!E:E))</f>
        <v/>
      </c>
      <c r="F879">
        <f>IF(OR($A879="",D879=0),"",C879/D879*E879)</f>
        <v/>
      </c>
      <c r="G879">
        <f>IF($A879="","",C879+F879)</f>
        <v/>
      </c>
      <c r="H879">
        <f>IF($A879="","",SUMIFS(Contributions!E:E,Contributions!C:C,$B879,Contributions!F:F,"Reinvest",Contributions!G:G,$A879))</f>
        <v/>
      </c>
      <c r="I879">
        <f>IF($A879="","",G879-H879)</f>
        <v/>
      </c>
    </row>
    <row r="880">
      <c r="C880">
        <f>IF($A880="","",SUMIFS(Contributions!E:E,Contributions!B:B,$A880,Contributions!C:C,$B880))</f>
        <v/>
      </c>
      <c r="D880">
        <f>IF($A880="","",SUMIFS(Contributions!E:E,Contributions!B:B,$A880))</f>
        <v/>
      </c>
      <c r="E880">
        <f>IF($A880="","",XLOOKUP($A880,Returns!A:A,Returns!E:E))</f>
        <v/>
      </c>
      <c r="F880">
        <f>IF(OR($A880="",D880=0),"",C880/D880*E880)</f>
        <v/>
      </c>
      <c r="G880">
        <f>IF($A880="","",C880+F880)</f>
        <v/>
      </c>
      <c r="H880">
        <f>IF($A880="","",SUMIFS(Contributions!E:E,Contributions!C:C,$B880,Contributions!F:F,"Reinvest",Contributions!G:G,$A880))</f>
        <v/>
      </c>
      <c r="I880">
        <f>IF($A880="","",G880-H880)</f>
        <v/>
      </c>
    </row>
    <row r="881">
      <c r="C881">
        <f>IF($A881="","",SUMIFS(Contributions!E:E,Contributions!B:B,$A881,Contributions!C:C,$B881))</f>
        <v/>
      </c>
      <c r="D881">
        <f>IF($A881="","",SUMIFS(Contributions!E:E,Contributions!B:B,$A881))</f>
        <v/>
      </c>
      <c r="E881">
        <f>IF($A881="","",XLOOKUP($A881,Returns!A:A,Returns!E:E))</f>
        <v/>
      </c>
      <c r="F881">
        <f>IF(OR($A881="",D881=0),"",C881/D881*E881)</f>
        <v/>
      </c>
      <c r="G881">
        <f>IF($A881="","",C881+F881)</f>
        <v/>
      </c>
      <c r="H881">
        <f>IF($A881="","",SUMIFS(Contributions!E:E,Contributions!C:C,$B881,Contributions!F:F,"Reinvest",Contributions!G:G,$A881))</f>
        <v/>
      </c>
      <c r="I881">
        <f>IF($A881="","",G881-H881)</f>
        <v/>
      </c>
    </row>
    <row r="882">
      <c r="C882">
        <f>IF($A882="","",SUMIFS(Contributions!E:E,Contributions!B:B,$A882,Contributions!C:C,$B882))</f>
        <v/>
      </c>
      <c r="D882">
        <f>IF($A882="","",SUMIFS(Contributions!E:E,Contributions!B:B,$A882))</f>
        <v/>
      </c>
      <c r="E882">
        <f>IF($A882="","",XLOOKUP($A882,Returns!A:A,Returns!E:E))</f>
        <v/>
      </c>
      <c r="F882">
        <f>IF(OR($A882="",D882=0),"",C882/D882*E882)</f>
        <v/>
      </c>
      <c r="G882">
        <f>IF($A882="","",C882+F882)</f>
        <v/>
      </c>
      <c r="H882">
        <f>IF($A882="","",SUMIFS(Contributions!E:E,Contributions!C:C,$B882,Contributions!F:F,"Reinvest",Contributions!G:G,$A882))</f>
        <v/>
      </c>
      <c r="I882">
        <f>IF($A882="","",G882-H882)</f>
        <v/>
      </c>
    </row>
    <row r="883">
      <c r="C883">
        <f>IF($A883="","",SUMIFS(Contributions!E:E,Contributions!B:B,$A883,Contributions!C:C,$B883))</f>
        <v/>
      </c>
      <c r="D883">
        <f>IF($A883="","",SUMIFS(Contributions!E:E,Contributions!B:B,$A883))</f>
        <v/>
      </c>
      <c r="E883">
        <f>IF($A883="","",XLOOKUP($A883,Returns!A:A,Returns!E:E))</f>
        <v/>
      </c>
      <c r="F883">
        <f>IF(OR($A883="",D883=0),"",C883/D883*E883)</f>
        <v/>
      </c>
      <c r="G883">
        <f>IF($A883="","",C883+F883)</f>
        <v/>
      </c>
      <c r="H883">
        <f>IF($A883="","",SUMIFS(Contributions!E:E,Contributions!C:C,$B883,Contributions!F:F,"Reinvest",Contributions!G:G,$A883))</f>
        <v/>
      </c>
      <c r="I883">
        <f>IF($A883="","",G883-H883)</f>
        <v/>
      </c>
    </row>
    <row r="884">
      <c r="C884">
        <f>IF($A884="","",SUMIFS(Contributions!E:E,Contributions!B:B,$A884,Contributions!C:C,$B884))</f>
        <v/>
      </c>
      <c r="D884">
        <f>IF($A884="","",SUMIFS(Contributions!E:E,Contributions!B:B,$A884))</f>
        <v/>
      </c>
      <c r="E884">
        <f>IF($A884="","",XLOOKUP($A884,Returns!A:A,Returns!E:E))</f>
        <v/>
      </c>
      <c r="F884">
        <f>IF(OR($A884="",D884=0),"",C884/D884*E884)</f>
        <v/>
      </c>
      <c r="G884">
        <f>IF($A884="","",C884+F884)</f>
        <v/>
      </c>
      <c r="H884">
        <f>IF($A884="","",SUMIFS(Contributions!E:E,Contributions!C:C,$B884,Contributions!F:F,"Reinvest",Contributions!G:G,$A884))</f>
        <v/>
      </c>
      <c r="I884">
        <f>IF($A884="","",G884-H884)</f>
        <v/>
      </c>
    </row>
    <row r="885">
      <c r="C885">
        <f>IF($A885="","",SUMIFS(Contributions!E:E,Contributions!B:B,$A885,Contributions!C:C,$B885))</f>
        <v/>
      </c>
      <c r="D885">
        <f>IF($A885="","",SUMIFS(Contributions!E:E,Contributions!B:B,$A885))</f>
        <v/>
      </c>
      <c r="E885">
        <f>IF($A885="","",XLOOKUP($A885,Returns!A:A,Returns!E:E))</f>
        <v/>
      </c>
      <c r="F885">
        <f>IF(OR($A885="",D885=0),"",C885/D885*E885)</f>
        <v/>
      </c>
      <c r="G885">
        <f>IF($A885="","",C885+F885)</f>
        <v/>
      </c>
      <c r="H885">
        <f>IF($A885="","",SUMIFS(Contributions!E:E,Contributions!C:C,$B885,Contributions!F:F,"Reinvest",Contributions!G:G,$A885))</f>
        <v/>
      </c>
      <c r="I885">
        <f>IF($A885="","",G885-H885)</f>
        <v/>
      </c>
    </row>
    <row r="886">
      <c r="C886">
        <f>IF($A886="","",SUMIFS(Contributions!E:E,Contributions!B:B,$A886,Contributions!C:C,$B886))</f>
        <v/>
      </c>
      <c r="D886">
        <f>IF($A886="","",SUMIFS(Contributions!E:E,Contributions!B:B,$A886))</f>
        <v/>
      </c>
      <c r="E886">
        <f>IF($A886="","",XLOOKUP($A886,Returns!A:A,Returns!E:E))</f>
        <v/>
      </c>
      <c r="F886">
        <f>IF(OR($A886="",D886=0),"",C886/D886*E886)</f>
        <v/>
      </c>
      <c r="G886">
        <f>IF($A886="","",C886+F886)</f>
        <v/>
      </c>
      <c r="H886">
        <f>IF($A886="","",SUMIFS(Contributions!E:E,Contributions!C:C,$B886,Contributions!F:F,"Reinvest",Contributions!G:G,$A886))</f>
        <v/>
      </c>
      <c r="I886">
        <f>IF($A886="","",G886-H886)</f>
        <v/>
      </c>
    </row>
    <row r="887">
      <c r="C887">
        <f>IF($A887="","",SUMIFS(Contributions!E:E,Contributions!B:B,$A887,Contributions!C:C,$B887))</f>
        <v/>
      </c>
      <c r="D887">
        <f>IF($A887="","",SUMIFS(Contributions!E:E,Contributions!B:B,$A887))</f>
        <v/>
      </c>
      <c r="E887">
        <f>IF($A887="","",XLOOKUP($A887,Returns!A:A,Returns!E:E))</f>
        <v/>
      </c>
      <c r="F887">
        <f>IF(OR($A887="",D887=0),"",C887/D887*E887)</f>
        <v/>
      </c>
      <c r="G887">
        <f>IF($A887="","",C887+F887)</f>
        <v/>
      </c>
      <c r="H887">
        <f>IF($A887="","",SUMIFS(Contributions!E:E,Contributions!C:C,$B887,Contributions!F:F,"Reinvest",Contributions!G:G,$A887))</f>
        <v/>
      </c>
      <c r="I887">
        <f>IF($A887="","",G887-H887)</f>
        <v/>
      </c>
    </row>
    <row r="888">
      <c r="C888">
        <f>IF($A888="","",SUMIFS(Contributions!E:E,Contributions!B:B,$A888,Contributions!C:C,$B888))</f>
        <v/>
      </c>
      <c r="D888">
        <f>IF($A888="","",SUMIFS(Contributions!E:E,Contributions!B:B,$A888))</f>
        <v/>
      </c>
      <c r="E888">
        <f>IF($A888="","",XLOOKUP($A888,Returns!A:A,Returns!E:E))</f>
        <v/>
      </c>
      <c r="F888">
        <f>IF(OR($A888="",D888=0),"",C888/D888*E888)</f>
        <v/>
      </c>
      <c r="G888">
        <f>IF($A888="","",C888+F888)</f>
        <v/>
      </c>
      <c r="H888">
        <f>IF($A888="","",SUMIFS(Contributions!E:E,Contributions!C:C,$B888,Contributions!F:F,"Reinvest",Contributions!G:G,$A888))</f>
        <v/>
      </c>
      <c r="I888">
        <f>IF($A888="","",G888-H888)</f>
        <v/>
      </c>
    </row>
    <row r="889">
      <c r="C889">
        <f>IF($A889="","",SUMIFS(Contributions!E:E,Contributions!B:B,$A889,Contributions!C:C,$B889))</f>
        <v/>
      </c>
      <c r="D889">
        <f>IF($A889="","",SUMIFS(Contributions!E:E,Contributions!B:B,$A889))</f>
        <v/>
      </c>
      <c r="E889">
        <f>IF($A889="","",XLOOKUP($A889,Returns!A:A,Returns!E:E))</f>
        <v/>
      </c>
      <c r="F889">
        <f>IF(OR($A889="",D889=0),"",C889/D889*E889)</f>
        <v/>
      </c>
      <c r="G889">
        <f>IF($A889="","",C889+F889)</f>
        <v/>
      </c>
      <c r="H889">
        <f>IF($A889="","",SUMIFS(Contributions!E:E,Contributions!C:C,$B889,Contributions!F:F,"Reinvest",Contributions!G:G,$A889))</f>
        <v/>
      </c>
      <c r="I889">
        <f>IF($A889="","",G889-H889)</f>
        <v/>
      </c>
    </row>
    <row r="890">
      <c r="C890">
        <f>IF($A890="","",SUMIFS(Contributions!E:E,Contributions!B:B,$A890,Contributions!C:C,$B890))</f>
        <v/>
      </c>
      <c r="D890">
        <f>IF($A890="","",SUMIFS(Contributions!E:E,Contributions!B:B,$A890))</f>
        <v/>
      </c>
      <c r="E890">
        <f>IF($A890="","",XLOOKUP($A890,Returns!A:A,Returns!E:E))</f>
        <v/>
      </c>
      <c r="F890">
        <f>IF(OR($A890="",D890=0),"",C890/D890*E890)</f>
        <v/>
      </c>
      <c r="G890">
        <f>IF($A890="","",C890+F890)</f>
        <v/>
      </c>
      <c r="H890">
        <f>IF($A890="","",SUMIFS(Contributions!E:E,Contributions!C:C,$B890,Contributions!F:F,"Reinvest",Contributions!G:G,$A890))</f>
        <v/>
      </c>
      <c r="I890">
        <f>IF($A890="","",G890-H890)</f>
        <v/>
      </c>
    </row>
    <row r="891">
      <c r="C891">
        <f>IF($A891="","",SUMIFS(Contributions!E:E,Contributions!B:B,$A891,Contributions!C:C,$B891))</f>
        <v/>
      </c>
      <c r="D891">
        <f>IF($A891="","",SUMIFS(Contributions!E:E,Contributions!B:B,$A891))</f>
        <v/>
      </c>
      <c r="E891">
        <f>IF($A891="","",XLOOKUP($A891,Returns!A:A,Returns!E:E))</f>
        <v/>
      </c>
      <c r="F891">
        <f>IF(OR($A891="",D891=0),"",C891/D891*E891)</f>
        <v/>
      </c>
      <c r="G891">
        <f>IF($A891="","",C891+F891)</f>
        <v/>
      </c>
      <c r="H891">
        <f>IF($A891="","",SUMIFS(Contributions!E:E,Contributions!C:C,$B891,Contributions!F:F,"Reinvest",Contributions!G:G,$A891))</f>
        <v/>
      </c>
      <c r="I891">
        <f>IF($A891="","",G891-H891)</f>
        <v/>
      </c>
    </row>
    <row r="892">
      <c r="C892">
        <f>IF($A892="","",SUMIFS(Contributions!E:E,Contributions!B:B,$A892,Contributions!C:C,$B892))</f>
        <v/>
      </c>
      <c r="D892">
        <f>IF($A892="","",SUMIFS(Contributions!E:E,Contributions!B:B,$A892))</f>
        <v/>
      </c>
      <c r="E892">
        <f>IF($A892="","",XLOOKUP($A892,Returns!A:A,Returns!E:E))</f>
        <v/>
      </c>
      <c r="F892">
        <f>IF(OR($A892="",D892=0),"",C892/D892*E892)</f>
        <v/>
      </c>
      <c r="G892">
        <f>IF($A892="","",C892+F892)</f>
        <v/>
      </c>
      <c r="H892">
        <f>IF($A892="","",SUMIFS(Contributions!E:E,Contributions!C:C,$B892,Contributions!F:F,"Reinvest",Contributions!G:G,$A892))</f>
        <v/>
      </c>
      <c r="I892">
        <f>IF($A892="","",G892-H892)</f>
        <v/>
      </c>
    </row>
    <row r="893">
      <c r="C893">
        <f>IF($A893="","",SUMIFS(Contributions!E:E,Contributions!B:B,$A893,Contributions!C:C,$B893))</f>
        <v/>
      </c>
      <c r="D893">
        <f>IF($A893="","",SUMIFS(Contributions!E:E,Contributions!B:B,$A893))</f>
        <v/>
      </c>
      <c r="E893">
        <f>IF($A893="","",XLOOKUP($A893,Returns!A:A,Returns!E:E))</f>
        <v/>
      </c>
      <c r="F893">
        <f>IF(OR($A893="",D893=0),"",C893/D893*E893)</f>
        <v/>
      </c>
      <c r="G893">
        <f>IF($A893="","",C893+F893)</f>
        <v/>
      </c>
      <c r="H893">
        <f>IF($A893="","",SUMIFS(Contributions!E:E,Contributions!C:C,$B893,Contributions!F:F,"Reinvest",Contributions!G:G,$A893))</f>
        <v/>
      </c>
      <c r="I893">
        <f>IF($A893="","",G893-H893)</f>
        <v/>
      </c>
    </row>
    <row r="894">
      <c r="C894">
        <f>IF($A894="","",SUMIFS(Contributions!E:E,Contributions!B:B,$A894,Contributions!C:C,$B894))</f>
        <v/>
      </c>
      <c r="D894">
        <f>IF($A894="","",SUMIFS(Contributions!E:E,Contributions!B:B,$A894))</f>
        <v/>
      </c>
      <c r="E894">
        <f>IF($A894="","",XLOOKUP($A894,Returns!A:A,Returns!E:E))</f>
        <v/>
      </c>
      <c r="F894">
        <f>IF(OR($A894="",D894=0),"",C894/D894*E894)</f>
        <v/>
      </c>
      <c r="G894">
        <f>IF($A894="","",C894+F894)</f>
        <v/>
      </c>
      <c r="H894">
        <f>IF($A894="","",SUMIFS(Contributions!E:E,Contributions!C:C,$B894,Contributions!F:F,"Reinvest",Contributions!G:G,$A894))</f>
        <v/>
      </c>
      <c r="I894">
        <f>IF($A894="","",G894-H894)</f>
        <v/>
      </c>
    </row>
    <row r="895">
      <c r="C895">
        <f>IF($A895="","",SUMIFS(Contributions!E:E,Contributions!B:B,$A895,Contributions!C:C,$B895))</f>
        <v/>
      </c>
      <c r="D895">
        <f>IF($A895="","",SUMIFS(Contributions!E:E,Contributions!B:B,$A895))</f>
        <v/>
      </c>
      <c r="E895">
        <f>IF($A895="","",XLOOKUP($A895,Returns!A:A,Returns!E:E))</f>
        <v/>
      </c>
      <c r="F895">
        <f>IF(OR($A895="",D895=0),"",C895/D895*E895)</f>
        <v/>
      </c>
      <c r="G895">
        <f>IF($A895="","",C895+F895)</f>
        <v/>
      </c>
      <c r="H895">
        <f>IF($A895="","",SUMIFS(Contributions!E:E,Contributions!C:C,$B895,Contributions!F:F,"Reinvest",Contributions!G:G,$A895))</f>
        <v/>
      </c>
      <c r="I895">
        <f>IF($A895="","",G895-H895)</f>
        <v/>
      </c>
    </row>
    <row r="896">
      <c r="C896">
        <f>IF($A896="","",SUMIFS(Contributions!E:E,Contributions!B:B,$A896,Contributions!C:C,$B896))</f>
        <v/>
      </c>
      <c r="D896">
        <f>IF($A896="","",SUMIFS(Contributions!E:E,Contributions!B:B,$A896))</f>
        <v/>
      </c>
      <c r="E896">
        <f>IF($A896="","",XLOOKUP($A896,Returns!A:A,Returns!E:E))</f>
        <v/>
      </c>
      <c r="F896">
        <f>IF(OR($A896="",D896=0),"",C896/D896*E896)</f>
        <v/>
      </c>
      <c r="G896">
        <f>IF($A896="","",C896+F896)</f>
        <v/>
      </c>
      <c r="H896">
        <f>IF($A896="","",SUMIFS(Contributions!E:E,Contributions!C:C,$B896,Contributions!F:F,"Reinvest",Contributions!G:G,$A896))</f>
        <v/>
      </c>
      <c r="I896">
        <f>IF($A896="","",G896-H896)</f>
        <v/>
      </c>
    </row>
    <row r="897">
      <c r="C897">
        <f>IF($A897="","",SUMIFS(Contributions!E:E,Contributions!B:B,$A897,Contributions!C:C,$B897))</f>
        <v/>
      </c>
      <c r="D897">
        <f>IF($A897="","",SUMIFS(Contributions!E:E,Contributions!B:B,$A897))</f>
        <v/>
      </c>
      <c r="E897">
        <f>IF($A897="","",XLOOKUP($A897,Returns!A:A,Returns!E:E))</f>
        <v/>
      </c>
      <c r="F897">
        <f>IF(OR($A897="",D897=0),"",C897/D897*E897)</f>
        <v/>
      </c>
      <c r="G897">
        <f>IF($A897="","",C897+F897)</f>
        <v/>
      </c>
      <c r="H897">
        <f>IF($A897="","",SUMIFS(Contributions!E:E,Contributions!C:C,$B897,Contributions!F:F,"Reinvest",Contributions!G:G,$A897))</f>
        <v/>
      </c>
      <c r="I897">
        <f>IF($A897="","",G897-H897)</f>
        <v/>
      </c>
    </row>
    <row r="898">
      <c r="C898">
        <f>IF($A898="","",SUMIFS(Contributions!E:E,Contributions!B:B,$A898,Contributions!C:C,$B898))</f>
        <v/>
      </c>
      <c r="D898">
        <f>IF($A898="","",SUMIFS(Contributions!E:E,Contributions!B:B,$A898))</f>
        <v/>
      </c>
      <c r="E898">
        <f>IF($A898="","",XLOOKUP($A898,Returns!A:A,Returns!E:E))</f>
        <v/>
      </c>
      <c r="F898">
        <f>IF(OR($A898="",D898=0),"",C898/D898*E898)</f>
        <v/>
      </c>
      <c r="G898">
        <f>IF($A898="","",C898+F898)</f>
        <v/>
      </c>
      <c r="H898">
        <f>IF($A898="","",SUMIFS(Contributions!E:E,Contributions!C:C,$B898,Contributions!F:F,"Reinvest",Contributions!G:G,$A898))</f>
        <v/>
      </c>
      <c r="I898">
        <f>IF($A898="","",G898-H898)</f>
        <v/>
      </c>
    </row>
    <row r="899">
      <c r="C899">
        <f>IF($A899="","",SUMIFS(Contributions!E:E,Contributions!B:B,$A899,Contributions!C:C,$B899))</f>
        <v/>
      </c>
      <c r="D899">
        <f>IF($A899="","",SUMIFS(Contributions!E:E,Contributions!B:B,$A899))</f>
        <v/>
      </c>
      <c r="E899">
        <f>IF($A899="","",XLOOKUP($A899,Returns!A:A,Returns!E:E))</f>
        <v/>
      </c>
      <c r="F899">
        <f>IF(OR($A899="",D899=0),"",C899/D899*E899)</f>
        <v/>
      </c>
      <c r="G899">
        <f>IF($A899="","",C899+F899)</f>
        <v/>
      </c>
      <c r="H899">
        <f>IF($A899="","",SUMIFS(Contributions!E:E,Contributions!C:C,$B899,Contributions!F:F,"Reinvest",Contributions!G:G,$A899))</f>
        <v/>
      </c>
      <c r="I899">
        <f>IF($A899="","",G899-H899)</f>
        <v/>
      </c>
    </row>
    <row r="900">
      <c r="C900">
        <f>IF($A900="","",SUMIFS(Contributions!E:E,Contributions!B:B,$A900,Contributions!C:C,$B900))</f>
        <v/>
      </c>
      <c r="D900">
        <f>IF($A900="","",SUMIFS(Contributions!E:E,Contributions!B:B,$A900))</f>
        <v/>
      </c>
      <c r="E900">
        <f>IF($A900="","",XLOOKUP($A900,Returns!A:A,Returns!E:E))</f>
        <v/>
      </c>
      <c r="F900">
        <f>IF(OR($A900="",D900=0),"",C900/D900*E900)</f>
        <v/>
      </c>
      <c r="G900">
        <f>IF($A900="","",C900+F900)</f>
        <v/>
      </c>
      <c r="H900">
        <f>IF($A900="","",SUMIFS(Contributions!E:E,Contributions!C:C,$B900,Contributions!F:F,"Reinvest",Contributions!G:G,$A900))</f>
        <v/>
      </c>
      <c r="I900">
        <f>IF($A900="","",G900-H900)</f>
        <v/>
      </c>
    </row>
    <row r="901">
      <c r="C901">
        <f>IF($A901="","",SUMIFS(Contributions!E:E,Contributions!B:B,$A901,Contributions!C:C,$B901))</f>
        <v/>
      </c>
      <c r="D901">
        <f>IF($A901="","",SUMIFS(Contributions!E:E,Contributions!B:B,$A901))</f>
        <v/>
      </c>
      <c r="E901">
        <f>IF($A901="","",XLOOKUP($A901,Returns!A:A,Returns!E:E))</f>
        <v/>
      </c>
      <c r="F901">
        <f>IF(OR($A901="",D901=0),"",C901/D901*E901)</f>
        <v/>
      </c>
      <c r="G901">
        <f>IF($A901="","",C901+F901)</f>
        <v/>
      </c>
      <c r="H901">
        <f>IF($A901="","",SUMIFS(Contributions!E:E,Contributions!C:C,$B901,Contributions!F:F,"Reinvest",Contributions!G:G,$A901))</f>
        <v/>
      </c>
      <c r="I901">
        <f>IF($A901="","",G901-H901)</f>
        <v/>
      </c>
    </row>
    <row r="902">
      <c r="C902">
        <f>IF($A902="","",SUMIFS(Contributions!E:E,Contributions!B:B,$A902,Contributions!C:C,$B902))</f>
        <v/>
      </c>
      <c r="D902">
        <f>IF($A902="","",SUMIFS(Contributions!E:E,Contributions!B:B,$A902))</f>
        <v/>
      </c>
      <c r="E902">
        <f>IF($A902="","",XLOOKUP($A902,Returns!A:A,Returns!E:E))</f>
        <v/>
      </c>
      <c r="F902">
        <f>IF(OR($A902="",D902=0),"",C902/D902*E902)</f>
        <v/>
      </c>
      <c r="G902">
        <f>IF($A902="","",C902+F902)</f>
        <v/>
      </c>
      <c r="H902">
        <f>IF($A902="","",SUMIFS(Contributions!E:E,Contributions!C:C,$B902,Contributions!F:F,"Reinvest",Contributions!G:G,$A902))</f>
        <v/>
      </c>
      <c r="I902">
        <f>IF($A902="","",G902-H902)</f>
        <v/>
      </c>
    </row>
    <row r="903">
      <c r="C903">
        <f>IF($A903="","",SUMIFS(Contributions!E:E,Contributions!B:B,$A903,Contributions!C:C,$B903))</f>
        <v/>
      </c>
      <c r="D903">
        <f>IF($A903="","",SUMIFS(Contributions!E:E,Contributions!B:B,$A903))</f>
        <v/>
      </c>
      <c r="E903">
        <f>IF($A903="","",XLOOKUP($A903,Returns!A:A,Returns!E:E))</f>
        <v/>
      </c>
      <c r="F903">
        <f>IF(OR($A903="",D903=0),"",C903/D903*E903)</f>
        <v/>
      </c>
      <c r="G903">
        <f>IF($A903="","",C903+F903)</f>
        <v/>
      </c>
      <c r="H903">
        <f>IF($A903="","",SUMIFS(Contributions!E:E,Contributions!C:C,$B903,Contributions!F:F,"Reinvest",Contributions!G:G,$A903))</f>
        <v/>
      </c>
      <c r="I903">
        <f>IF($A903="","",G903-H903)</f>
        <v/>
      </c>
    </row>
    <row r="904">
      <c r="C904">
        <f>IF($A904="","",SUMIFS(Contributions!E:E,Contributions!B:B,$A904,Contributions!C:C,$B904))</f>
        <v/>
      </c>
      <c r="D904">
        <f>IF($A904="","",SUMIFS(Contributions!E:E,Contributions!B:B,$A904))</f>
        <v/>
      </c>
      <c r="E904">
        <f>IF($A904="","",XLOOKUP($A904,Returns!A:A,Returns!E:E))</f>
        <v/>
      </c>
      <c r="F904">
        <f>IF(OR($A904="",D904=0),"",C904/D904*E904)</f>
        <v/>
      </c>
      <c r="G904">
        <f>IF($A904="","",C904+F904)</f>
        <v/>
      </c>
      <c r="H904">
        <f>IF($A904="","",SUMIFS(Contributions!E:E,Contributions!C:C,$B904,Contributions!F:F,"Reinvest",Contributions!G:G,$A904))</f>
        <v/>
      </c>
      <c r="I904">
        <f>IF($A904="","",G904-H904)</f>
        <v/>
      </c>
    </row>
    <row r="905">
      <c r="C905">
        <f>IF($A905="","",SUMIFS(Contributions!E:E,Contributions!B:B,$A905,Contributions!C:C,$B905))</f>
        <v/>
      </c>
      <c r="D905">
        <f>IF($A905="","",SUMIFS(Contributions!E:E,Contributions!B:B,$A905))</f>
        <v/>
      </c>
      <c r="E905">
        <f>IF($A905="","",XLOOKUP($A905,Returns!A:A,Returns!E:E))</f>
        <v/>
      </c>
      <c r="F905">
        <f>IF(OR($A905="",D905=0),"",C905/D905*E905)</f>
        <v/>
      </c>
      <c r="G905">
        <f>IF($A905="","",C905+F905)</f>
        <v/>
      </c>
      <c r="H905">
        <f>IF($A905="","",SUMIFS(Contributions!E:E,Contributions!C:C,$B905,Contributions!F:F,"Reinvest",Contributions!G:G,$A905))</f>
        <v/>
      </c>
      <c r="I905">
        <f>IF($A905="","",G905-H905)</f>
        <v/>
      </c>
    </row>
    <row r="906">
      <c r="C906">
        <f>IF($A906="","",SUMIFS(Contributions!E:E,Contributions!B:B,$A906,Contributions!C:C,$B906))</f>
        <v/>
      </c>
      <c r="D906">
        <f>IF($A906="","",SUMIFS(Contributions!E:E,Contributions!B:B,$A906))</f>
        <v/>
      </c>
      <c r="E906">
        <f>IF($A906="","",XLOOKUP($A906,Returns!A:A,Returns!E:E))</f>
        <v/>
      </c>
      <c r="F906">
        <f>IF(OR($A906="",D906=0),"",C906/D906*E906)</f>
        <v/>
      </c>
      <c r="G906">
        <f>IF($A906="","",C906+F906)</f>
        <v/>
      </c>
      <c r="H906">
        <f>IF($A906="","",SUMIFS(Contributions!E:E,Contributions!C:C,$B906,Contributions!F:F,"Reinvest",Contributions!G:G,$A906))</f>
        <v/>
      </c>
      <c r="I906">
        <f>IF($A906="","",G906-H906)</f>
        <v/>
      </c>
    </row>
    <row r="907">
      <c r="C907">
        <f>IF($A907="","",SUMIFS(Contributions!E:E,Contributions!B:B,$A907,Contributions!C:C,$B907))</f>
        <v/>
      </c>
      <c r="D907">
        <f>IF($A907="","",SUMIFS(Contributions!E:E,Contributions!B:B,$A907))</f>
        <v/>
      </c>
      <c r="E907">
        <f>IF($A907="","",XLOOKUP($A907,Returns!A:A,Returns!E:E))</f>
        <v/>
      </c>
      <c r="F907">
        <f>IF(OR($A907="",D907=0),"",C907/D907*E907)</f>
        <v/>
      </c>
      <c r="G907">
        <f>IF($A907="","",C907+F907)</f>
        <v/>
      </c>
      <c r="H907">
        <f>IF($A907="","",SUMIFS(Contributions!E:E,Contributions!C:C,$B907,Contributions!F:F,"Reinvest",Contributions!G:G,$A907))</f>
        <v/>
      </c>
      <c r="I907">
        <f>IF($A907="","",G907-H907)</f>
        <v/>
      </c>
    </row>
    <row r="908">
      <c r="C908">
        <f>IF($A908="","",SUMIFS(Contributions!E:E,Contributions!B:B,$A908,Contributions!C:C,$B908))</f>
        <v/>
      </c>
      <c r="D908">
        <f>IF($A908="","",SUMIFS(Contributions!E:E,Contributions!B:B,$A908))</f>
        <v/>
      </c>
      <c r="E908">
        <f>IF($A908="","",XLOOKUP($A908,Returns!A:A,Returns!E:E))</f>
        <v/>
      </c>
      <c r="F908">
        <f>IF(OR($A908="",D908=0),"",C908/D908*E908)</f>
        <v/>
      </c>
      <c r="G908">
        <f>IF($A908="","",C908+F908)</f>
        <v/>
      </c>
      <c r="H908">
        <f>IF($A908="","",SUMIFS(Contributions!E:E,Contributions!C:C,$B908,Contributions!F:F,"Reinvest",Contributions!G:G,$A908))</f>
        <v/>
      </c>
      <c r="I908">
        <f>IF($A908="","",G908-H908)</f>
        <v/>
      </c>
    </row>
    <row r="909">
      <c r="C909">
        <f>IF($A909="","",SUMIFS(Contributions!E:E,Contributions!B:B,$A909,Contributions!C:C,$B909))</f>
        <v/>
      </c>
      <c r="D909">
        <f>IF($A909="","",SUMIFS(Contributions!E:E,Contributions!B:B,$A909))</f>
        <v/>
      </c>
      <c r="E909">
        <f>IF($A909="","",XLOOKUP($A909,Returns!A:A,Returns!E:E))</f>
        <v/>
      </c>
      <c r="F909">
        <f>IF(OR($A909="",D909=0),"",C909/D909*E909)</f>
        <v/>
      </c>
      <c r="G909">
        <f>IF($A909="","",C909+F909)</f>
        <v/>
      </c>
      <c r="H909">
        <f>IF($A909="","",SUMIFS(Contributions!E:E,Contributions!C:C,$B909,Contributions!F:F,"Reinvest",Contributions!G:G,$A909))</f>
        <v/>
      </c>
      <c r="I909">
        <f>IF($A909="","",G909-H909)</f>
        <v/>
      </c>
    </row>
    <row r="910">
      <c r="C910">
        <f>IF($A910="","",SUMIFS(Contributions!E:E,Contributions!B:B,$A910,Contributions!C:C,$B910))</f>
        <v/>
      </c>
      <c r="D910">
        <f>IF($A910="","",SUMIFS(Contributions!E:E,Contributions!B:B,$A910))</f>
        <v/>
      </c>
      <c r="E910">
        <f>IF($A910="","",XLOOKUP($A910,Returns!A:A,Returns!E:E))</f>
        <v/>
      </c>
      <c r="F910">
        <f>IF(OR($A910="",D910=0),"",C910/D910*E910)</f>
        <v/>
      </c>
      <c r="G910">
        <f>IF($A910="","",C910+F910)</f>
        <v/>
      </c>
      <c r="H910">
        <f>IF($A910="","",SUMIFS(Contributions!E:E,Contributions!C:C,$B910,Contributions!F:F,"Reinvest",Contributions!G:G,$A910))</f>
        <v/>
      </c>
      <c r="I910">
        <f>IF($A910="","",G910-H910)</f>
        <v/>
      </c>
    </row>
    <row r="911">
      <c r="C911">
        <f>IF($A911="","",SUMIFS(Contributions!E:E,Contributions!B:B,$A911,Contributions!C:C,$B911))</f>
        <v/>
      </c>
      <c r="D911">
        <f>IF($A911="","",SUMIFS(Contributions!E:E,Contributions!B:B,$A911))</f>
        <v/>
      </c>
      <c r="E911">
        <f>IF($A911="","",XLOOKUP($A911,Returns!A:A,Returns!E:E))</f>
        <v/>
      </c>
      <c r="F911">
        <f>IF(OR($A911="",D911=0),"",C911/D911*E911)</f>
        <v/>
      </c>
      <c r="G911">
        <f>IF($A911="","",C911+F911)</f>
        <v/>
      </c>
      <c r="H911">
        <f>IF($A911="","",SUMIFS(Contributions!E:E,Contributions!C:C,$B911,Contributions!F:F,"Reinvest",Contributions!G:G,$A911))</f>
        <v/>
      </c>
      <c r="I911">
        <f>IF($A911="","",G911-H911)</f>
        <v/>
      </c>
    </row>
    <row r="912">
      <c r="C912">
        <f>IF($A912="","",SUMIFS(Contributions!E:E,Contributions!B:B,$A912,Contributions!C:C,$B912))</f>
        <v/>
      </c>
      <c r="D912">
        <f>IF($A912="","",SUMIFS(Contributions!E:E,Contributions!B:B,$A912))</f>
        <v/>
      </c>
      <c r="E912">
        <f>IF($A912="","",XLOOKUP($A912,Returns!A:A,Returns!E:E))</f>
        <v/>
      </c>
      <c r="F912">
        <f>IF(OR($A912="",D912=0),"",C912/D912*E912)</f>
        <v/>
      </c>
      <c r="G912">
        <f>IF($A912="","",C912+F912)</f>
        <v/>
      </c>
      <c r="H912">
        <f>IF($A912="","",SUMIFS(Contributions!E:E,Contributions!C:C,$B912,Contributions!F:F,"Reinvest",Contributions!G:G,$A912))</f>
        <v/>
      </c>
      <c r="I912">
        <f>IF($A912="","",G912-H912)</f>
        <v/>
      </c>
    </row>
    <row r="913">
      <c r="C913">
        <f>IF($A913="","",SUMIFS(Contributions!E:E,Contributions!B:B,$A913,Contributions!C:C,$B913))</f>
        <v/>
      </c>
      <c r="D913">
        <f>IF($A913="","",SUMIFS(Contributions!E:E,Contributions!B:B,$A913))</f>
        <v/>
      </c>
      <c r="E913">
        <f>IF($A913="","",XLOOKUP($A913,Returns!A:A,Returns!E:E))</f>
        <v/>
      </c>
      <c r="F913">
        <f>IF(OR($A913="",D913=0),"",C913/D913*E913)</f>
        <v/>
      </c>
      <c r="G913">
        <f>IF($A913="","",C913+F913)</f>
        <v/>
      </c>
      <c r="H913">
        <f>IF($A913="","",SUMIFS(Contributions!E:E,Contributions!C:C,$B913,Contributions!F:F,"Reinvest",Contributions!G:G,$A913))</f>
        <v/>
      </c>
      <c r="I913">
        <f>IF($A913="","",G913-H913)</f>
        <v/>
      </c>
    </row>
    <row r="914">
      <c r="C914">
        <f>IF($A914="","",SUMIFS(Contributions!E:E,Contributions!B:B,$A914,Contributions!C:C,$B914))</f>
        <v/>
      </c>
      <c r="D914">
        <f>IF($A914="","",SUMIFS(Contributions!E:E,Contributions!B:B,$A914))</f>
        <v/>
      </c>
      <c r="E914">
        <f>IF($A914="","",XLOOKUP($A914,Returns!A:A,Returns!E:E))</f>
        <v/>
      </c>
      <c r="F914">
        <f>IF(OR($A914="",D914=0),"",C914/D914*E914)</f>
        <v/>
      </c>
      <c r="G914">
        <f>IF($A914="","",C914+F914)</f>
        <v/>
      </c>
      <c r="H914">
        <f>IF($A914="","",SUMIFS(Contributions!E:E,Contributions!C:C,$B914,Contributions!F:F,"Reinvest",Contributions!G:G,$A914))</f>
        <v/>
      </c>
      <c r="I914">
        <f>IF($A914="","",G914-H914)</f>
        <v/>
      </c>
    </row>
    <row r="915">
      <c r="C915">
        <f>IF($A915="","",SUMIFS(Contributions!E:E,Contributions!B:B,$A915,Contributions!C:C,$B915))</f>
        <v/>
      </c>
      <c r="D915">
        <f>IF($A915="","",SUMIFS(Contributions!E:E,Contributions!B:B,$A915))</f>
        <v/>
      </c>
      <c r="E915">
        <f>IF($A915="","",XLOOKUP($A915,Returns!A:A,Returns!E:E))</f>
        <v/>
      </c>
      <c r="F915">
        <f>IF(OR($A915="",D915=0),"",C915/D915*E915)</f>
        <v/>
      </c>
      <c r="G915">
        <f>IF($A915="","",C915+F915)</f>
        <v/>
      </c>
      <c r="H915">
        <f>IF($A915="","",SUMIFS(Contributions!E:E,Contributions!C:C,$B915,Contributions!F:F,"Reinvest",Contributions!G:G,$A915))</f>
        <v/>
      </c>
      <c r="I915">
        <f>IF($A915="","",G915-H915)</f>
        <v/>
      </c>
    </row>
    <row r="916">
      <c r="C916">
        <f>IF($A916="","",SUMIFS(Contributions!E:E,Contributions!B:B,$A916,Contributions!C:C,$B916))</f>
        <v/>
      </c>
      <c r="D916">
        <f>IF($A916="","",SUMIFS(Contributions!E:E,Contributions!B:B,$A916))</f>
        <v/>
      </c>
      <c r="E916">
        <f>IF($A916="","",XLOOKUP($A916,Returns!A:A,Returns!E:E))</f>
        <v/>
      </c>
      <c r="F916">
        <f>IF(OR($A916="",D916=0),"",C916/D916*E916)</f>
        <v/>
      </c>
      <c r="G916">
        <f>IF($A916="","",C916+F916)</f>
        <v/>
      </c>
      <c r="H916">
        <f>IF($A916="","",SUMIFS(Contributions!E:E,Contributions!C:C,$B916,Contributions!F:F,"Reinvest",Contributions!G:G,$A916))</f>
        <v/>
      </c>
      <c r="I916">
        <f>IF($A916="","",G916-H916)</f>
        <v/>
      </c>
    </row>
    <row r="917">
      <c r="C917">
        <f>IF($A917="","",SUMIFS(Contributions!E:E,Contributions!B:B,$A917,Contributions!C:C,$B917))</f>
        <v/>
      </c>
      <c r="D917">
        <f>IF($A917="","",SUMIFS(Contributions!E:E,Contributions!B:B,$A917))</f>
        <v/>
      </c>
      <c r="E917">
        <f>IF($A917="","",XLOOKUP($A917,Returns!A:A,Returns!E:E))</f>
        <v/>
      </c>
      <c r="F917">
        <f>IF(OR($A917="",D917=0),"",C917/D917*E917)</f>
        <v/>
      </c>
      <c r="G917">
        <f>IF($A917="","",C917+F917)</f>
        <v/>
      </c>
      <c r="H917">
        <f>IF($A917="","",SUMIFS(Contributions!E:E,Contributions!C:C,$B917,Contributions!F:F,"Reinvest",Contributions!G:G,$A917))</f>
        <v/>
      </c>
      <c r="I917">
        <f>IF($A917="","",G917-H917)</f>
        <v/>
      </c>
    </row>
    <row r="918">
      <c r="C918">
        <f>IF($A918="","",SUMIFS(Contributions!E:E,Contributions!B:B,$A918,Contributions!C:C,$B918))</f>
        <v/>
      </c>
      <c r="D918">
        <f>IF($A918="","",SUMIFS(Contributions!E:E,Contributions!B:B,$A918))</f>
        <v/>
      </c>
      <c r="E918">
        <f>IF($A918="","",XLOOKUP($A918,Returns!A:A,Returns!E:E))</f>
        <v/>
      </c>
      <c r="F918">
        <f>IF(OR($A918="",D918=0),"",C918/D918*E918)</f>
        <v/>
      </c>
      <c r="G918">
        <f>IF($A918="","",C918+F918)</f>
        <v/>
      </c>
      <c r="H918">
        <f>IF($A918="","",SUMIFS(Contributions!E:E,Contributions!C:C,$B918,Contributions!F:F,"Reinvest",Contributions!G:G,$A918))</f>
        <v/>
      </c>
      <c r="I918">
        <f>IF($A918="","",G918-H918)</f>
        <v/>
      </c>
    </row>
    <row r="919">
      <c r="C919">
        <f>IF($A919="","",SUMIFS(Contributions!E:E,Contributions!B:B,$A919,Contributions!C:C,$B919))</f>
        <v/>
      </c>
      <c r="D919">
        <f>IF($A919="","",SUMIFS(Contributions!E:E,Contributions!B:B,$A919))</f>
        <v/>
      </c>
      <c r="E919">
        <f>IF($A919="","",XLOOKUP($A919,Returns!A:A,Returns!E:E))</f>
        <v/>
      </c>
      <c r="F919">
        <f>IF(OR($A919="",D919=0),"",C919/D919*E919)</f>
        <v/>
      </c>
      <c r="G919">
        <f>IF($A919="","",C919+F919)</f>
        <v/>
      </c>
      <c r="H919">
        <f>IF($A919="","",SUMIFS(Contributions!E:E,Contributions!C:C,$B919,Contributions!F:F,"Reinvest",Contributions!G:G,$A919))</f>
        <v/>
      </c>
      <c r="I919">
        <f>IF($A919="","",G919-H919)</f>
        <v/>
      </c>
    </row>
    <row r="920">
      <c r="C920">
        <f>IF($A920="","",SUMIFS(Contributions!E:E,Contributions!B:B,$A920,Contributions!C:C,$B920))</f>
        <v/>
      </c>
      <c r="D920">
        <f>IF($A920="","",SUMIFS(Contributions!E:E,Contributions!B:B,$A920))</f>
        <v/>
      </c>
      <c r="E920">
        <f>IF($A920="","",XLOOKUP($A920,Returns!A:A,Returns!E:E))</f>
        <v/>
      </c>
      <c r="F920">
        <f>IF(OR($A920="",D920=0),"",C920/D920*E920)</f>
        <v/>
      </c>
      <c r="G920">
        <f>IF($A920="","",C920+F920)</f>
        <v/>
      </c>
      <c r="H920">
        <f>IF($A920="","",SUMIFS(Contributions!E:E,Contributions!C:C,$B920,Contributions!F:F,"Reinvest",Contributions!G:G,$A920))</f>
        <v/>
      </c>
      <c r="I920">
        <f>IF($A920="","",G920-H920)</f>
        <v/>
      </c>
    </row>
    <row r="921">
      <c r="C921">
        <f>IF($A921="","",SUMIFS(Contributions!E:E,Contributions!B:B,$A921,Contributions!C:C,$B921))</f>
        <v/>
      </c>
      <c r="D921">
        <f>IF($A921="","",SUMIFS(Contributions!E:E,Contributions!B:B,$A921))</f>
        <v/>
      </c>
      <c r="E921">
        <f>IF($A921="","",XLOOKUP($A921,Returns!A:A,Returns!E:E))</f>
        <v/>
      </c>
      <c r="F921">
        <f>IF(OR($A921="",D921=0),"",C921/D921*E921)</f>
        <v/>
      </c>
      <c r="G921">
        <f>IF($A921="","",C921+F921)</f>
        <v/>
      </c>
      <c r="H921">
        <f>IF($A921="","",SUMIFS(Contributions!E:E,Contributions!C:C,$B921,Contributions!F:F,"Reinvest",Contributions!G:G,$A921))</f>
        <v/>
      </c>
      <c r="I921">
        <f>IF($A921="","",G921-H921)</f>
        <v/>
      </c>
    </row>
    <row r="922">
      <c r="C922">
        <f>IF($A922="","",SUMIFS(Contributions!E:E,Contributions!B:B,$A922,Contributions!C:C,$B922))</f>
        <v/>
      </c>
      <c r="D922">
        <f>IF($A922="","",SUMIFS(Contributions!E:E,Contributions!B:B,$A922))</f>
        <v/>
      </c>
      <c r="E922">
        <f>IF($A922="","",XLOOKUP($A922,Returns!A:A,Returns!E:E))</f>
        <v/>
      </c>
      <c r="F922">
        <f>IF(OR($A922="",D922=0),"",C922/D922*E922)</f>
        <v/>
      </c>
      <c r="G922">
        <f>IF($A922="","",C922+F922)</f>
        <v/>
      </c>
      <c r="H922">
        <f>IF($A922="","",SUMIFS(Contributions!E:E,Contributions!C:C,$B922,Contributions!F:F,"Reinvest",Contributions!G:G,$A922))</f>
        <v/>
      </c>
      <c r="I922">
        <f>IF($A922="","",G922-H922)</f>
        <v/>
      </c>
    </row>
    <row r="923">
      <c r="C923">
        <f>IF($A923="","",SUMIFS(Contributions!E:E,Contributions!B:B,$A923,Contributions!C:C,$B923))</f>
        <v/>
      </c>
      <c r="D923">
        <f>IF($A923="","",SUMIFS(Contributions!E:E,Contributions!B:B,$A923))</f>
        <v/>
      </c>
      <c r="E923">
        <f>IF($A923="","",XLOOKUP($A923,Returns!A:A,Returns!E:E))</f>
        <v/>
      </c>
      <c r="F923">
        <f>IF(OR($A923="",D923=0),"",C923/D923*E923)</f>
        <v/>
      </c>
      <c r="G923">
        <f>IF($A923="","",C923+F923)</f>
        <v/>
      </c>
      <c r="H923">
        <f>IF($A923="","",SUMIFS(Contributions!E:E,Contributions!C:C,$B923,Contributions!F:F,"Reinvest",Contributions!G:G,$A923))</f>
        <v/>
      </c>
      <c r="I923">
        <f>IF($A923="","",G923-H923)</f>
        <v/>
      </c>
    </row>
    <row r="924">
      <c r="C924">
        <f>IF($A924="","",SUMIFS(Contributions!E:E,Contributions!B:B,$A924,Contributions!C:C,$B924))</f>
        <v/>
      </c>
      <c r="D924">
        <f>IF($A924="","",SUMIFS(Contributions!E:E,Contributions!B:B,$A924))</f>
        <v/>
      </c>
      <c r="E924">
        <f>IF($A924="","",XLOOKUP($A924,Returns!A:A,Returns!E:E))</f>
        <v/>
      </c>
      <c r="F924">
        <f>IF(OR($A924="",D924=0),"",C924/D924*E924)</f>
        <v/>
      </c>
      <c r="G924">
        <f>IF($A924="","",C924+F924)</f>
        <v/>
      </c>
      <c r="H924">
        <f>IF($A924="","",SUMIFS(Contributions!E:E,Contributions!C:C,$B924,Contributions!F:F,"Reinvest",Contributions!G:G,$A924))</f>
        <v/>
      </c>
      <c r="I924">
        <f>IF($A924="","",G924-H924)</f>
        <v/>
      </c>
    </row>
    <row r="925">
      <c r="C925">
        <f>IF($A925="","",SUMIFS(Contributions!E:E,Contributions!B:B,$A925,Contributions!C:C,$B925))</f>
        <v/>
      </c>
      <c r="D925">
        <f>IF($A925="","",SUMIFS(Contributions!E:E,Contributions!B:B,$A925))</f>
        <v/>
      </c>
      <c r="E925">
        <f>IF($A925="","",XLOOKUP($A925,Returns!A:A,Returns!E:E))</f>
        <v/>
      </c>
      <c r="F925">
        <f>IF(OR($A925="",D925=0),"",C925/D925*E925)</f>
        <v/>
      </c>
      <c r="G925">
        <f>IF($A925="","",C925+F925)</f>
        <v/>
      </c>
      <c r="H925">
        <f>IF($A925="","",SUMIFS(Contributions!E:E,Contributions!C:C,$B925,Contributions!F:F,"Reinvest",Contributions!G:G,$A925))</f>
        <v/>
      </c>
      <c r="I925">
        <f>IF($A925="","",G925-H925)</f>
        <v/>
      </c>
    </row>
    <row r="926">
      <c r="C926">
        <f>IF($A926="","",SUMIFS(Contributions!E:E,Contributions!B:B,$A926,Contributions!C:C,$B926))</f>
        <v/>
      </c>
      <c r="D926">
        <f>IF($A926="","",SUMIFS(Contributions!E:E,Contributions!B:B,$A926))</f>
        <v/>
      </c>
      <c r="E926">
        <f>IF($A926="","",XLOOKUP($A926,Returns!A:A,Returns!E:E))</f>
        <v/>
      </c>
      <c r="F926">
        <f>IF(OR($A926="",D926=0),"",C926/D926*E926)</f>
        <v/>
      </c>
      <c r="G926">
        <f>IF($A926="","",C926+F926)</f>
        <v/>
      </c>
      <c r="H926">
        <f>IF($A926="","",SUMIFS(Contributions!E:E,Contributions!C:C,$B926,Contributions!F:F,"Reinvest",Contributions!G:G,$A926))</f>
        <v/>
      </c>
      <c r="I926">
        <f>IF($A926="","",G926-H926)</f>
        <v/>
      </c>
    </row>
    <row r="927">
      <c r="C927">
        <f>IF($A927="","",SUMIFS(Contributions!E:E,Contributions!B:B,$A927,Contributions!C:C,$B927))</f>
        <v/>
      </c>
      <c r="D927">
        <f>IF($A927="","",SUMIFS(Contributions!E:E,Contributions!B:B,$A927))</f>
        <v/>
      </c>
      <c r="E927">
        <f>IF($A927="","",XLOOKUP($A927,Returns!A:A,Returns!E:E))</f>
        <v/>
      </c>
      <c r="F927">
        <f>IF(OR($A927="",D927=0),"",C927/D927*E927)</f>
        <v/>
      </c>
      <c r="G927">
        <f>IF($A927="","",C927+F927)</f>
        <v/>
      </c>
      <c r="H927">
        <f>IF($A927="","",SUMIFS(Contributions!E:E,Contributions!C:C,$B927,Contributions!F:F,"Reinvest",Contributions!G:G,$A927))</f>
        <v/>
      </c>
      <c r="I927">
        <f>IF($A927="","",G927-H927)</f>
        <v/>
      </c>
    </row>
    <row r="928">
      <c r="C928">
        <f>IF($A928="","",SUMIFS(Contributions!E:E,Contributions!B:B,$A928,Contributions!C:C,$B928))</f>
        <v/>
      </c>
      <c r="D928">
        <f>IF($A928="","",SUMIFS(Contributions!E:E,Contributions!B:B,$A928))</f>
        <v/>
      </c>
      <c r="E928">
        <f>IF($A928="","",XLOOKUP($A928,Returns!A:A,Returns!E:E))</f>
        <v/>
      </c>
      <c r="F928">
        <f>IF(OR($A928="",D928=0),"",C928/D928*E928)</f>
        <v/>
      </c>
      <c r="G928">
        <f>IF($A928="","",C928+F928)</f>
        <v/>
      </c>
      <c r="H928">
        <f>IF($A928="","",SUMIFS(Contributions!E:E,Contributions!C:C,$B928,Contributions!F:F,"Reinvest",Contributions!G:G,$A928))</f>
        <v/>
      </c>
      <c r="I928">
        <f>IF($A928="","",G928-H928)</f>
        <v/>
      </c>
    </row>
    <row r="929">
      <c r="C929">
        <f>IF($A929="","",SUMIFS(Contributions!E:E,Contributions!B:B,$A929,Contributions!C:C,$B929))</f>
        <v/>
      </c>
      <c r="D929">
        <f>IF($A929="","",SUMIFS(Contributions!E:E,Contributions!B:B,$A929))</f>
        <v/>
      </c>
      <c r="E929">
        <f>IF($A929="","",XLOOKUP($A929,Returns!A:A,Returns!E:E))</f>
        <v/>
      </c>
      <c r="F929">
        <f>IF(OR($A929="",D929=0),"",C929/D929*E929)</f>
        <v/>
      </c>
      <c r="G929">
        <f>IF($A929="","",C929+F929)</f>
        <v/>
      </c>
      <c r="H929">
        <f>IF($A929="","",SUMIFS(Contributions!E:E,Contributions!C:C,$B929,Contributions!F:F,"Reinvest",Contributions!G:G,$A929))</f>
        <v/>
      </c>
      <c r="I929">
        <f>IF($A929="","",G929-H929)</f>
        <v/>
      </c>
    </row>
    <row r="930">
      <c r="C930">
        <f>IF($A930="","",SUMIFS(Contributions!E:E,Contributions!B:B,$A930,Contributions!C:C,$B930))</f>
        <v/>
      </c>
      <c r="D930">
        <f>IF($A930="","",SUMIFS(Contributions!E:E,Contributions!B:B,$A930))</f>
        <v/>
      </c>
      <c r="E930">
        <f>IF($A930="","",XLOOKUP($A930,Returns!A:A,Returns!E:E))</f>
        <v/>
      </c>
      <c r="F930">
        <f>IF(OR($A930="",D930=0),"",C930/D930*E930)</f>
        <v/>
      </c>
      <c r="G930">
        <f>IF($A930="","",C930+F930)</f>
        <v/>
      </c>
      <c r="H930">
        <f>IF($A930="","",SUMIFS(Contributions!E:E,Contributions!C:C,$B930,Contributions!F:F,"Reinvest",Contributions!G:G,$A930))</f>
        <v/>
      </c>
      <c r="I930">
        <f>IF($A930="","",G930-H930)</f>
        <v/>
      </c>
    </row>
    <row r="931">
      <c r="C931">
        <f>IF($A931="","",SUMIFS(Contributions!E:E,Contributions!B:B,$A931,Contributions!C:C,$B931))</f>
        <v/>
      </c>
      <c r="D931">
        <f>IF($A931="","",SUMIFS(Contributions!E:E,Contributions!B:B,$A931))</f>
        <v/>
      </c>
      <c r="E931">
        <f>IF($A931="","",XLOOKUP($A931,Returns!A:A,Returns!E:E))</f>
        <v/>
      </c>
      <c r="F931">
        <f>IF(OR($A931="",D931=0),"",C931/D931*E931)</f>
        <v/>
      </c>
      <c r="G931">
        <f>IF($A931="","",C931+F931)</f>
        <v/>
      </c>
      <c r="H931">
        <f>IF($A931="","",SUMIFS(Contributions!E:E,Contributions!C:C,$B931,Contributions!F:F,"Reinvest",Contributions!G:G,$A931))</f>
        <v/>
      </c>
      <c r="I931">
        <f>IF($A931="","",G931-H931)</f>
        <v/>
      </c>
    </row>
    <row r="932">
      <c r="C932">
        <f>IF($A932="","",SUMIFS(Contributions!E:E,Contributions!B:B,$A932,Contributions!C:C,$B932))</f>
        <v/>
      </c>
      <c r="D932">
        <f>IF($A932="","",SUMIFS(Contributions!E:E,Contributions!B:B,$A932))</f>
        <v/>
      </c>
      <c r="E932">
        <f>IF($A932="","",XLOOKUP($A932,Returns!A:A,Returns!E:E))</f>
        <v/>
      </c>
      <c r="F932">
        <f>IF(OR($A932="",D932=0),"",C932/D932*E932)</f>
        <v/>
      </c>
      <c r="G932">
        <f>IF($A932="","",C932+F932)</f>
        <v/>
      </c>
      <c r="H932">
        <f>IF($A932="","",SUMIFS(Contributions!E:E,Contributions!C:C,$B932,Contributions!F:F,"Reinvest",Contributions!G:G,$A932))</f>
        <v/>
      </c>
      <c r="I932">
        <f>IF($A932="","",G932-H932)</f>
        <v/>
      </c>
    </row>
    <row r="933">
      <c r="C933">
        <f>IF($A933="","",SUMIFS(Contributions!E:E,Contributions!B:B,$A933,Contributions!C:C,$B933))</f>
        <v/>
      </c>
      <c r="D933">
        <f>IF($A933="","",SUMIFS(Contributions!E:E,Contributions!B:B,$A933))</f>
        <v/>
      </c>
      <c r="E933">
        <f>IF($A933="","",XLOOKUP($A933,Returns!A:A,Returns!E:E))</f>
        <v/>
      </c>
      <c r="F933">
        <f>IF(OR($A933="",D933=0),"",C933/D933*E933)</f>
        <v/>
      </c>
      <c r="G933">
        <f>IF($A933="","",C933+F933)</f>
        <v/>
      </c>
      <c r="H933">
        <f>IF($A933="","",SUMIFS(Contributions!E:E,Contributions!C:C,$B933,Contributions!F:F,"Reinvest",Contributions!G:G,$A933))</f>
        <v/>
      </c>
      <c r="I933">
        <f>IF($A933="","",G933-H933)</f>
        <v/>
      </c>
    </row>
    <row r="934">
      <c r="C934">
        <f>IF($A934="","",SUMIFS(Contributions!E:E,Contributions!B:B,$A934,Contributions!C:C,$B934))</f>
        <v/>
      </c>
      <c r="D934">
        <f>IF($A934="","",SUMIFS(Contributions!E:E,Contributions!B:B,$A934))</f>
        <v/>
      </c>
      <c r="E934">
        <f>IF($A934="","",XLOOKUP($A934,Returns!A:A,Returns!E:E))</f>
        <v/>
      </c>
      <c r="F934">
        <f>IF(OR($A934="",D934=0),"",C934/D934*E934)</f>
        <v/>
      </c>
      <c r="G934">
        <f>IF($A934="","",C934+F934)</f>
        <v/>
      </c>
      <c r="H934">
        <f>IF($A934="","",SUMIFS(Contributions!E:E,Contributions!C:C,$B934,Contributions!F:F,"Reinvest",Contributions!G:G,$A934))</f>
        <v/>
      </c>
      <c r="I934">
        <f>IF($A934="","",G934-H934)</f>
        <v/>
      </c>
    </row>
    <row r="935">
      <c r="C935">
        <f>IF($A935="","",SUMIFS(Contributions!E:E,Contributions!B:B,$A935,Contributions!C:C,$B935))</f>
        <v/>
      </c>
      <c r="D935">
        <f>IF($A935="","",SUMIFS(Contributions!E:E,Contributions!B:B,$A935))</f>
        <v/>
      </c>
      <c r="E935">
        <f>IF($A935="","",XLOOKUP($A935,Returns!A:A,Returns!E:E))</f>
        <v/>
      </c>
      <c r="F935">
        <f>IF(OR($A935="",D935=0),"",C935/D935*E935)</f>
        <v/>
      </c>
      <c r="G935">
        <f>IF($A935="","",C935+F935)</f>
        <v/>
      </c>
      <c r="H935">
        <f>IF($A935="","",SUMIFS(Contributions!E:E,Contributions!C:C,$B935,Contributions!F:F,"Reinvest",Contributions!G:G,$A935))</f>
        <v/>
      </c>
      <c r="I935">
        <f>IF($A935="","",G935-H935)</f>
        <v/>
      </c>
    </row>
    <row r="936">
      <c r="C936">
        <f>IF($A936="","",SUMIFS(Contributions!E:E,Contributions!B:B,$A936,Contributions!C:C,$B936))</f>
        <v/>
      </c>
      <c r="D936">
        <f>IF($A936="","",SUMIFS(Contributions!E:E,Contributions!B:B,$A936))</f>
        <v/>
      </c>
      <c r="E936">
        <f>IF($A936="","",XLOOKUP($A936,Returns!A:A,Returns!E:E))</f>
        <v/>
      </c>
      <c r="F936">
        <f>IF(OR($A936="",D936=0),"",C936/D936*E936)</f>
        <v/>
      </c>
      <c r="G936">
        <f>IF($A936="","",C936+F936)</f>
        <v/>
      </c>
      <c r="H936">
        <f>IF($A936="","",SUMIFS(Contributions!E:E,Contributions!C:C,$B936,Contributions!F:F,"Reinvest",Contributions!G:G,$A936))</f>
        <v/>
      </c>
      <c r="I936">
        <f>IF($A936="","",G936-H936)</f>
        <v/>
      </c>
    </row>
    <row r="937">
      <c r="C937">
        <f>IF($A937="","",SUMIFS(Contributions!E:E,Contributions!B:B,$A937,Contributions!C:C,$B937))</f>
        <v/>
      </c>
      <c r="D937">
        <f>IF($A937="","",SUMIFS(Contributions!E:E,Contributions!B:B,$A937))</f>
        <v/>
      </c>
      <c r="E937">
        <f>IF($A937="","",XLOOKUP($A937,Returns!A:A,Returns!E:E))</f>
        <v/>
      </c>
      <c r="F937">
        <f>IF(OR($A937="",D937=0),"",C937/D937*E937)</f>
        <v/>
      </c>
      <c r="G937">
        <f>IF($A937="","",C937+F937)</f>
        <v/>
      </c>
      <c r="H937">
        <f>IF($A937="","",SUMIFS(Contributions!E:E,Contributions!C:C,$B937,Contributions!F:F,"Reinvest",Contributions!G:G,$A937))</f>
        <v/>
      </c>
      <c r="I937">
        <f>IF($A937="","",G937-H937)</f>
        <v/>
      </c>
    </row>
    <row r="938">
      <c r="C938">
        <f>IF($A938="","",SUMIFS(Contributions!E:E,Contributions!B:B,$A938,Contributions!C:C,$B938))</f>
        <v/>
      </c>
      <c r="D938">
        <f>IF($A938="","",SUMIFS(Contributions!E:E,Contributions!B:B,$A938))</f>
        <v/>
      </c>
      <c r="E938">
        <f>IF($A938="","",XLOOKUP($A938,Returns!A:A,Returns!E:E))</f>
        <v/>
      </c>
      <c r="F938">
        <f>IF(OR($A938="",D938=0),"",C938/D938*E938)</f>
        <v/>
      </c>
      <c r="G938">
        <f>IF($A938="","",C938+F938)</f>
        <v/>
      </c>
      <c r="H938">
        <f>IF($A938="","",SUMIFS(Contributions!E:E,Contributions!C:C,$B938,Contributions!F:F,"Reinvest",Contributions!G:G,$A938))</f>
        <v/>
      </c>
      <c r="I938">
        <f>IF($A938="","",G938-H938)</f>
        <v/>
      </c>
    </row>
    <row r="939">
      <c r="C939">
        <f>IF($A939="","",SUMIFS(Contributions!E:E,Contributions!B:B,$A939,Contributions!C:C,$B939))</f>
        <v/>
      </c>
      <c r="D939">
        <f>IF($A939="","",SUMIFS(Contributions!E:E,Contributions!B:B,$A939))</f>
        <v/>
      </c>
      <c r="E939">
        <f>IF($A939="","",XLOOKUP($A939,Returns!A:A,Returns!E:E))</f>
        <v/>
      </c>
      <c r="F939">
        <f>IF(OR($A939="",D939=0),"",C939/D939*E939)</f>
        <v/>
      </c>
      <c r="G939">
        <f>IF($A939="","",C939+F939)</f>
        <v/>
      </c>
      <c r="H939">
        <f>IF($A939="","",SUMIFS(Contributions!E:E,Contributions!C:C,$B939,Contributions!F:F,"Reinvest",Contributions!G:G,$A939))</f>
        <v/>
      </c>
      <c r="I939">
        <f>IF($A939="","",G939-H939)</f>
        <v/>
      </c>
    </row>
    <row r="940">
      <c r="C940">
        <f>IF($A940="","",SUMIFS(Contributions!E:E,Contributions!B:B,$A940,Contributions!C:C,$B940))</f>
        <v/>
      </c>
      <c r="D940">
        <f>IF($A940="","",SUMIFS(Contributions!E:E,Contributions!B:B,$A940))</f>
        <v/>
      </c>
      <c r="E940">
        <f>IF($A940="","",XLOOKUP($A940,Returns!A:A,Returns!E:E))</f>
        <v/>
      </c>
      <c r="F940">
        <f>IF(OR($A940="",D940=0),"",C940/D940*E940)</f>
        <v/>
      </c>
      <c r="G940">
        <f>IF($A940="","",C940+F940)</f>
        <v/>
      </c>
      <c r="H940">
        <f>IF($A940="","",SUMIFS(Contributions!E:E,Contributions!C:C,$B940,Contributions!F:F,"Reinvest",Contributions!G:G,$A940))</f>
        <v/>
      </c>
      <c r="I940">
        <f>IF($A940="","",G940-H940)</f>
        <v/>
      </c>
    </row>
    <row r="941">
      <c r="C941">
        <f>IF($A941="","",SUMIFS(Contributions!E:E,Contributions!B:B,$A941,Contributions!C:C,$B941))</f>
        <v/>
      </c>
      <c r="D941">
        <f>IF($A941="","",SUMIFS(Contributions!E:E,Contributions!B:B,$A941))</f>
        <v/>
      </c>
      <c r="E941">
        <f>IF($A941="","",XLOOKUP($A941,Returns!A:A,Returns!E:E))</f>
        <v/>
      </c>
      <c r="F941">
        <f>IF(OR($A941="",D941=0),"",C941/D941*E941)</f>
        <v/>
      </c>
      <c r="G941">
        <f>IF($A941="","",C941+F941)</f>
        <v/>
      </c>
      <c r="H941">
        <f>IF($A941="","",SUMIFS(Contributions!E:E,Contributions!C:C,$B941,Contributions!F:F,"Reinvest",Contributions!G:G,$A941))</f>
        <v/>
      </c>
      <c r="I941">
        <f>IF($A941="","",G941-H941)</f>
        <v/>
      </c>
    </row>
    <row r="942">
      <c r="C942">
        <f>IF($A942="","",SUMIFS(Contributions!E:E,Contributions!B:B,$A942,Contributions!C:C,$B942))</f>
        <v/>
      </c>
      <c r="D942">
        <f>IF($A942="","",SUMIFS(Contributions!E:E,Contributions!B:B,$A942))</f>
        <v/>
      </c>
      <c r="E942">
        <f>IF($A942="","",XLOOKUP($A942,Returns!A:A,Returns!E:E))</f>
        <v/>
      </c>
      <c r="F942">
        <f>IF(OR($A942="",D942=0),"",C942/D942*E942)</f>
        <v/>
      </c>
      <c r="G942">
        <f>IF($A942="","",C942+F942)</f>
        <v/>
      </c>
      <c r="H942">
        <f>IF($A942="","",SUMIFS(Contributions!E:E,Contributions!C:C,$B942,Contributions!F:F,"Reinvest",Contributions!G:G,$A942))</f>
        <v/>
      </c>
      <c r="I942">
        <f>IF($A942="","",G942-H942)</f>
        <v/>
      </c>
    </row>
    <row r="943">
      <c r="C943">
        <f>IF($A943="","",SUMIFS(Contributions!E:E,Contributions!B:B,$A943,Contributions!C:C,$B943))</f>
        <v/>
      </c>
      <c r="D943">
        <f>IF($A943="","",SUMIFS(Contributions!E:E,Contributions!B:B,$A943))</f>
        <v/>
      </c>
      <c r="E943">
        <f>IF($A943="","",XLOOKUP($A943,Returns!A:A,Returns!E:E))</f>
        <v/>
      </c>
      <c r="F943">
        <f>IF(OR($A943="",D943=0),"",C943/D943*E943)</f>
        <v/>
      </c>
      <c r="G943">
        <f>IF($A943="","",C943+F943)</f>
        <v/>
      </c>
      <c r="H943">
        <f>IF($A943="","",SUMIFS(Contributions!E:E,Contributions!C:C,$B943,Contributions!F:F,"Reinvest",Contributions!G:G,$A943))</f>
        <v/>
      </c>
      <c r="I943">
        <f>IF($A943="","",G943-H943)</f>
        <v/>
      </c>
    </row>
    <row r="944">
      <c r="C944">
        <f>IF($A944="","",SUMIFS(Contributions!E:E,Contributions!B:B,$A944,Contributions!C:C,$B944))</f>
        <v/>
      </c>
      <c r="D944">
        <f>IF($A944="","",SUMIFS(Contributions!E:E,Contributions!B:B,$A944))</f>
        <v/>
      </c>
      <c r="E944">
        <f>IF($A944="","",XLOOKUP($A944,Returns!A:A,Returns!E:E))</f>
        <v/>
      </c>
      <c r="F944">
        <f>IF(OR($A944="",D944=0),"",C944/D944*E944)</f>
        <v/>
      </c>
      <c r="G944">
        <f>IF($A944="","",C944+F944)</f>
        <v/>
      </c>
      <c r="H944">
        <f>IF($A944="","",SUMIFS(Contributions!E:E,Contributions!C:C,$B944,Contributions!F:F,"Reinvest",Contributions!G:G,$A944))</f>
        <v/>
      </c>
      <c r="I944">
        <f>IF($A944="","",G944-H944)</f>
        <v/>
      </c>
    </row>
    <row r="945">
      <c r="C945">
        <f>IF($A945="","",SUMIFS(Contributions!E:E,Contributions!B:B,$A945,Contributions!C:C,$B945))</f>
        <v/>
      </c>
      <c r="D945">
        <f>IF($A945="","",SUMIFS(Contributions!E:E,Contributions!B:B,$A945))</f>
        <v/>
      </c>
      <c r="E945">
        <f>IF($A945="","",XLOOKUP($A945,Returns!A:A,Returns!E:E))</f>
        <v/>
      </c>
      <c r="F945">
        <f>IF(OR($A945="",D945=0),"",C945/D945*E945)</f>
        <v/>
      </c>
      <c r="G945">
        <f>IF($A945="","",C945+F945)</f>
        <v/>
      </c>
      <c r="H945">
        <f>IF($A945="","",SUMIFS(Contributions!E:E,Contributions!C:C,$B945,Contributions!F:F,"Reinvest",Contributions!G:G,$A945))</f>
        <v/>
      </c>
      <c r="I945">
        <f>IF($A945="","",G945-H945)</f>
        <v/>
      </c>
    </row>
    <row r="946">
      <c r="C946">
        <f>IF($A946="","",SUMIFS(Contributions!E:E,Contributions!B:B,$A946,Contributions!C:C,$B946))</f>
        <v/>
      </c>
      <c r="D946">
        <f>IF($A946="","",SUMIFS(Contributions!E:E,Contributions!B:B,$A946))</f>
        <v/>
      </c>
      <c r="E946">
        <f>IF($A946="","",XLOOKUP($A946,Returns!A:A,Returns!E:E))</f>
        <v/>
      </c>
      <c r="F946">
        <f>IF(OR($A946="",D946=0),"",C946/D946*E946)</f>
        <v/>
      </c>
      <c r="G946">
        <f>IF($A946="","",C946+F946)</f>
        <v/>
      </c>
      <c r="H946">
        <f>IF($A946="","",SUMIFS(Contributions!E:E,Contributions!C:C,$B946,Contributions!F:F,"Reinvest",Contributions!G:G,$A946))</f>
        <v/>
      </c>
      <c r="I946">
        <f>IF($A946="","",G946-H946)</f>
        <v/>
      </c>
    </row>
    <row r="947">
      <c r="C947">
        <f>IF($A947="","",SUMIFS(Contributions!E:E,Contributions!B:B,$A947,Contributions!C:C,$B947))</f>
        <v/>
      </c>
      <c r="D947">
        <f>IF($A947="","",SUMIFS(Contributions!E:E,Contributions!B:B,$A947))</f>
        <v/>
      </c>
      <c r="E947">
        <f>IF($A947="","",XLOOKUP($A947,Returns!A:A,Returns!E:E))</f>
        <v/>
      </c>
      <c r="F947">
        <f>IF(OR($A947="",D947=0),"",C947/D947*E947)</f>
        <v/>
      </c>
      <c r="G947">
        <f>IF($A947="","",C947+F947)</f>
        <v/>
      </c>
      <c r="H947">
        <f>IF($A947="","",SUMIFS(Contributions!E:E,Contributions!C:C,$B947,Contributions!F:F,"Reinvest",Contributions!G:G,$A947))</f>
        <v/>
      </c>
      <c r="I947">
        <f>IF($A947="","",G947-H947)</f>
        <v/>
      </c>
    </row>
    <row r="948">
      <c r="C948">
        <f>IF($A948="","",SUMIFS(Contributions!E:E,Contributions!B:B,$A948,Contributions!C:C,$B948))</f>
        <v/>
      </c>
      <c r="D948">
        <f>IF($A948="","",SUMIFS(Contributions!E:E,Contributions!B:B,$A948))</f>
        <v/>
      </c>
      <c r="E948">
        <f>IF($A948="","",XLOOKUP($A948,Returns!A:A,Returns!E:E))</f>
        <v/>
      </c>
      <c r="F948">
        <f>IF(OR($A948="",D948=0),"",C948/D948*E948)</f>
        <v/>
      </c>
      <c r="G948">
        <f>IF($A948="","",C948+F948)</f>
        <v/>
      </c>
      <c r="H948">
        <f>IF($A948="","",SUMIFS(Contributions!E:E,Contributions!C:C,$B948,Contributions!F:F,"Reinvest",Contributions!G:G,$A948))</f>
        <v/>
      </c>
      <c r="I948">
        <f>IF($A948="","",G948-H948)</f>
        <v/>
      </c>
    </row>
    <row r="949">
      <c r="C949">
        <f>IF($A949="","",SUMIFS(Contributions!E:E,Contributions!B:B,$A949,Contributions!C:C,$B949))</f>
        <v/>
      </c>
      <c r="D949">
        <f>IF($A949="","",SUMIFS(Contributions!E:E,Contributions!B:B,$A949))</f>
        <v/>
      </c>
      <c r="E949">
        <f>IF($A949="","",XLOOKUP($A949,Returns!A:A,Returns!E:E))</f>
        <v/>
      </c>
      <c r="F949">
        <f>IF(OR($A949="",D949=0),"",C949/D949*E949)</f>
        <v/>
      </c>
      <c r="G949">
        <f>IF($A949="","",C949+F949)</f>
        <v/>
      </c>
      <c r="H949">
        <f>IF($A949="","",SUMIFS(Contributions!E:E,Contributions!C:C,$B949,Contributions!F:F,"Reinvest",Contributions!G:G,$A949))</f>
        <v/>
      </c>
      <c r="I949">
        <f>IF($A949="","",G949-H949)</f>
        <v/>
      </c>
    </row>
    <row r="950">
      <c r="C950">
        <f>IF($A950="","",SUMIFS(Contributions!E:E,Contributions!B:B,$A950,Contributions!C:C,$B950))</f>
        <v/>
      </c>
      <c r="D950">
        <f>IF($A950="","",SUMIFS(Contributions!E:E,Contributions!B:B,$A950))</f>
        <v/>
      </c>
      <c r="E950">
        <f>IF($A950="","",XLOOKUP($A950,Returns!A:A,Returns!E:E))</f>
        <v/>
      </c>
      <c r="F950">
        <f>IF(OR($A950="",D950=0),"",C950/D950*E950)</f>
        <v/>
      </c>
      <c r="G950">
        <f>IF($A950="","",C950+F950)</f>
        <v/>
      </c>
      <c r="H950">
        <f>IF($A950="","",SUMIFS(Contributions!E:E,Contributions!C:C,$B950,Contributions!F:F,"Reinvest",Contributions!G:G,$A950))</f>
        <v/>
      </c>
      <c r="I950">
        <f>IF($A950="","",G950-H950)</f>
        <v/>
      </c>
    </row>
    <row r="951">
      <c r="C951">
        <f>IF($A951="","",SUMIFS(Contributions!E:E,Contributions!B:B,$A951,Contributions!C:C,$B951))</f>
        <v/>
      </c>
      <c r="D951">
        <f>IF($A951="","",SUMIFS(Contributions!E:E,Contributions!B:B,$A951))</f>
        <v/>
      </c>
      <c r="E951">
        <f>IF($A951="","",XLOOKUP($A951,Returns!A:A,Returns!E:E))</f>
        <v/>
      </c>
      <c r="F951">
        <f>IF(OR($A951="",D951=0),"",C951/D951*E951)</f>
        <v/>
      </c>
      <c r="G951">
        <f>IF($A951="","",C951+F951)</f>
        <v/>
      </c>
      <c r="H951">
        <f>IF($A951="","",SUMIFS(Contributions!E:E,Contributions!C:C,$B951,Contributions!F:F,"Reinvest",Contributions!G:G,$A951))</f>
        <v/>
      </c>
      <c r="I951">
        <f>IF($A951="","",G951-H951)</f>
        <v/>
      </c>
    </row>
    <row r="952">
      <c r="C952">
        <f>IF($A952="","",SUMIFS(Contributions!E:E,Contributions!B:B,$A952,Contributions!C:C,$B952))</f>
        <v/>
      </c>
      <c r="D952">
        <f>IF($A952="","",SUMIFS(Contributions!E:E,Contributions!B:B,$A952))</f>
        <v/>
      </c>
      <c r="E952">
        <f>IF($A952="","",XLOOKUP($A952,Returns!A:A,Returns!E:E))</f>
        <v/>
      </c>
      <c r="F952">
        <f>IF(OR($A952="",D952=0),"",C952/D952*E952)</f>
        <v/>
      </c>
      <c r="G952">
        <f>IF($A952="","",C952+F952)</f>
        <v/>
      </c>
      <c r="H952">
        <f>IF($A952="","",SUMIFS(Contributions!E:E,Contributions!C:C,$B952,Contributions!F:F,"Reinvest",Contributions!G:G,$A952))</f>
        <v/>
      </c>
      <c r="I952">
        <f>IF($A952="","",G952-H952)</f>
        <v/>
      </c>
    </row>
    <row r="953">
      <c r="C953">
        <f>IF($A953="","",SUMIFS(Contributions!E:E,Contributions!B:B,$A953,Contributions!C:C,$B953))</f>
        <v/>
      </c>
      <c r="D953">
        <f>IF($A953="","",SUMIFS(Contributions!E:E,Contributions!B:B,$A953))</f>
        <v/>
      </c>
      <c r="E953">
        <f>IF($A953="","",XLOOKUP($A953,Returns!A:A,Returns!E:E))</f>
        <v/>
      </c>
      <c r="F953">
        <f>IF(OR($A953="",D953=0),"",C953/D953*E953)</f>
        <v/>
      </c>
      <c r="G953">
        <f>IF($A953="","",C953+F953)</f>
        <v/>
      </c>
      <c r="H953">
        <f>IF($A953="","",SUMIFS(Contributions!E:E,Contributions!C:C,$B953,Contributions!F:F,"Reinvest",Contributions!G:G,$A953))</f>
        <v/>
      </c>
      <c r="I953">
        <f>IF($A953="","",G953-H953)</f>
        <v/>
      </c>
    </row>
    <row r="954">
      <c r="C954">
        <f>IF($A954="","",SUMIFS(Contributions!E:E,Contributions!B:B,$A954,Contributions!C:C,$B954))</f>
        <v/>
      </c>
      <c r="D954">
        <f>IF($A954="","",SUMIFS(Contributions!E:E,Contributions!B:B,$A954))</f>
        <v/>
      </c>
      <c r="E954">
        <f>IF($A954="","",XLOOKUP($A954,Returns!A:A,Returns!E:E))</f>
        <v/>
      </c>
      <c r="F954">
        <f>IF(OR($A954="",D954=0),"",C954/D954*E954)</f>
        <v/>
      </c>
      <c r="G954">
        <f>IF($A954="","",C954+F954)</f>
        <v/>
      </c>
      <c r="H954">
        <f>IF($A954="","",SUMIFS(Contributions!E:E,Contributions!C:C,$B954,Contributions!F:F,"Reinvest",Contributions!G:G,$A954))</f>
        <v/>
      </c>
      <c r="I954">
        <f>IF($A954="","",G954-H954)</f>
        <v/>
      </c>
    </row>
    <row r="955">
      <c r="C955">
        <f>IF($A955="","",SUMIFS(Contributions!E:E,Contributions!B:B,$A955,Contributions!C:C,$B955))</f>
        <v/>
      </c>
      <c r="D955">
        <f>IF($A955="","",SUMIFS(Contributions!E:E,Contributions!B:B,$A955))</f>
        <v/>
      </c>
      <c r="E955">
        <f>IF($A955="","",XLOOKUP($A955,Returns!A:A,Returns!E:E))</f>
        <v/>
      </c>
      <c r="F955">
        <f>IF(OR($A955="",D955=0),"",C955/D955*E955)</f>
        <v/>
      </c>
      <c r="G955">
        <f>IF($A955="","",C955+F955)</f>
        <v/>
      </c>
      <c r="H955">
        <f>IF($A955="","",SUMIFS(Contributions!E:E,Contributions!C:C,$B955,Contributions!F:F,"Reinvest",Contributions!G:G,$A955))</f>
        <v/>
      </c>
      <c r="I955">
        <f>IF($A955="","",G955-H955)</f>
        <v/>
      </c>
    </row>
    <row r="956">
      <c r="C956">
        <f>IF($A956="","",SUMIFS(Contributions!E:E,Contributions!B:B,$A956,Contributions!C:C,$B956))</f>
        <v/>
      </c>
      <c r="D956">
        <f>IF($A956="","",SUMIFS(Contributions!E:E,Contributions!B:B,$A956))</f>
        <v/>
      </c>
      <c r="E956">
        <f>IF($A956="","",XLOOKUP($A956,Returns!A:A,Returns!E:E))</f>
        <v/>
      </c>
      <c r="F956">
        <f>IF(OR($A956="",D956=0),"",C956/D956*E956)</f>
        <v/>
      </c>
      <c r="G956">
        <f>IF($A956="","",C956+F956)</f>
        <v/>
      </c>
      <c r="H956">
        <f>IF($A956="","",SUMIFS(Contributions!E:E,Contributions!C:C,$B956,Contributions!F:F,"Reinvest",Contributions!G:G,$A956))</f>
        <v/>
      </c>
      <c r="I956">
        <f>IF($A956="","",G956-H956)</f>
        <v/>
      </c>
    </row>
    <row r="957">
      <c r="C957">
        <f>IF($A957="","",SUMIFS(Contributions!E:E,Contributions!B:B,$A957,Contributions!C:C,$B957))</f>
        <v/>
      </c>
      <c r="D957">
        <f>IF($A957="","",SUMIFS(Contributions!E:E,Contributions!B:B,$A957))</f>
        <v/>
      </c>
      <c r="E957">
        <f>IF($A957="","",XLOOKUP($A957,Returns!A:A,Returns!E:E))</f>
        <v/>
      </c>
      <c r="F957">
        <f>IF(OR($A957="",D957=0),"",C957/D957*E957)</f>
        <v/>
      </c>
      <c r="G957">
        <f>IF($A957="","",C957+F957)</f>
        <v/>
      </c>
      <c r="H957">
        <f>IF($A957="","",SUMIFS(Contributions!E:E,Contributions!C:C,$B957,Contributions!F:F,"Reinvest",Contributions!G:G,$A957))</f>
        <v/>
      </c>
      <c r="I957">
        <f>IF($A957="","",G957-H957)</f>
        <v/>
      </c>
    </row>
    <row r="958">
      <c r="C958">
        <f>IF($A958="","",SUMIFS(Contributions!E:E,Contributions!B:B,$A958,Contributions!C:C,$B958))</f>
        <v/>
      </c>
      <c r="D958">
        <f>IF($A958="","",SUMIFS(Contributions!E:E,Contributions!B:B,$A958))</f>
        <v/>
      </c>
      <c r="E958">
        <f>IF($A958="","",XLOOKUP($A958,Returns!A:A,Returns!E:E))</f>
        <v/>
      </c>
      <c r="F958">
        <f>IF(OR($A958="",D958=0),"",C958/D958*E958)</f>
        <v/>
      </c>
      <c r="G958">
        <f>IF($A958="","",C958+F958)</f>
        <v/>
      </c>
      <c r="H958">
        <f>IF($A958="","",SUMIFS(Contributions!E:E,Contributions!C:C,$B958,Contributions!F:F,"Reinvest",Contributions!G:G,$A958))</f>
        <v/>
      </c>
      <c r="I958">
        <f>IF($A958="","",G958-H958)</f>
        <v/>
      </c>
    </row>
    <row r="959">
      <c r="C959">
        <f>IF($A959="","",SUMIFS(Contributions!E:E,Contributions!B:B,$A959,Contributions!C:C,$B959))</f>
        <v/>
      </c>
      <c r="D959">
        <f>IF($A959="","",SUMIFS(Contributions!E:E,Contributions!B:B,$A959))</f>
        <v/>
      </c>
      <c r="E959">
        <f>IF($A959="","",XLOOKUP($A959,Returns!A:A,Returns!E:E))</f>
        <v/>
      </c>
      <c r="F959">
        <f>IF(OR($A959="",D959=0),"",C959/D959*E959)</f>
        <v/>
      </c>
      <c r="G959">
        <f>IF($A959="","",C959+F959)</f>
        <v/>
      </c>
      <c r="H959">
        <f>IF($A959="","",SUMIFS(Contributions!E:E,Contributions!C:C,$B959,Contributions!F:F,"Reinvest",Contributions!G:G,$A959))</f>
        <v/>
      </c>
      <c r="I959">
        <f>IF($A959="","",G959-H959)</f>
        <v/>
      </c>
    </row>
    <row r="960">
      <c r="C960">
        <f>IF($A960="","",SUMIFS(Contributions!E:E,Contributions!B:B,$A960,Contributions!C:C,$B960))</f>
        <v/>
      </c>
      <c r="D960">
        <f>IF($A960="","",SUMIFS(Contributions!E:E,Contributions!B:B,$A960))</f>
        <v/>
      </c>
      <c r="E960">
        <f>IF($A960="","",XLOOKUP($A960,Returns!A:A,Returns!E:E))</f>
        <v/>
      </c>
      <c r="F960">
        <f>IF(OR($A960="",D960=0),"",C960/D960*E960)</f>
        <v/>
      </c>
      <c r="G960">
        <f>IF($A960="","",C960+F960)</f>
        <v/>
      </c>
      <c r="H960">
        <f>IF($A960="","",SUMIFS(Contributions!E:E,Contributions!C:C,$B960,Contributions!F:F,"Reinvest",Contributions!G:G,$A960))</f>
        <v/>
      </c>
      <c r="I960">
        <f>IF($A960="","",G960-H960)</f>
        <v/>
      </c>
    </row>
    <row r="961">
      <c r="C961">
        <f>IF($A961="","",SUMIFS(Contributions!E:E,Contributions!B:B,$A961,Contributions!C:C,$B961))</f>
        <v/>
      </c>
      <c r="D961">
        <f>IF($A961="","",SUMIFS(Contributions!E:E,Contributions!B:B,$A961))</f>
        <v/>
      </c>
      <c r="E961">
        <f>IF($A961="","",XLOOKUP($A961,Returns!A:A,Returns!E:E))</f>
        <v/>
      </c>
      <c r="F961">
        <f>IF(OR($A961="",D961=0),"",C961/D961*E961)</f>
        <v/>
      </c>
      <c r="G961">
        <f>IF($A961="","",C961+F961)</f>
        <v/>
      </c>
      <c r="H961">
        <f>IF($A961="","",SUMIFS(Contributions!E:E,Contributions!C:C,$B961,Contributions!F:F,"Reinvest",Contributions!G:G,$A961))</f>
        <v/>
      </c>
      <c r="I961">
        <f>IF($A961="","",G961-H961)</f>
        <v/>
      </c>
    </row>
    <row r="962">
      <c r="C962">
        <f>IF($A962="","",SUMIFS(Contributions!E:E,Contributions!B:B,$A962,Contributions!C:C,$B962))</f>
        <v/>
      </c>
      <c r="D962">
        <f>IF($A962="","",SUMIFS(Contributions!E:E,Contributions!B:B,$A962))</f>
        <v/>
      </c>
      <c r="E962">
        <f>IF($A962="","",XLOOKUP($A962,Returns!A:A,Returns!E:E))</f>
        <v/>
      </c>
      <c r="F962">
        <f>IF(OR($A962="",D962=0),"",C962/D962*E962)</f>
        <v/>
      </c>
      <c r="G962">
        <f>IF($A962="","",C962+F962)</f>
        <v/>
      </c>
      <c r="H962">
        <f>IF($A962="","",SUMIFS(Contributions!E:E,Contributions!C:C,$B962,Contributions!F:F,"Reinvest",Contributions!G:G,$A962))</f>
        <v/>
      </c>
      <c r="I962">
        <f>IF($A962="","",G962-H962)</f>
        <v/>
      </c>
    </row>
    <row r="963">
      <c r="C963">
        <f>IF($A963="","",SUMIFS(Contributions!E:E,Contributions!B:B,$A963,Contributions!C:C,$B963))</f>
        <v/>
      </c>
      <c r="D963">
        <f>IF($A963="","",SUMIFS(Contributions!E:E,Contributions!B:B,$A963))</f>
        <v/>
      </c>
      <c r="E963">
        <f>IF($A963="","",XLOOKUP($A963,Returns!A:A,Returns!E:E))</f>
        <v/>
      </c>
      <c r="F963">
        <f>IF(OR($A963="",D963=0),"",C963/D963*E963)</f>
        <v/>
      </c>
      <c r="G963">
        <f>IF($A963="","",C963+F963)</f>
        <v/>
      </c>
      <c r="H963">
        <f>IF($A963="","",SUMIFS(Contributions!E:E,Contributions!C:C,$B963,Contributions!F:F,"Reinvest",Contributions!G:G,$A963))</f>
        <v/>
      </c>
      <c r="I963">
        <f>IF($A963="","",G963-H963)</f>
        <v/>
      </c>
    </row>
    <row r="964">
      <c r="C964">
        <f>IF($A964="","",SUMIFS(Contributions!E:E,Contributions!B:B,$A964,Contributions!C:C,$B964))</f>
        <v/>
      </c>
      <c r="D964">
        <f>IF($A964="","",SUMIFS(Contributions!E:E,Contributions!B:B,$A964))</f>
        <v/>
      </c>
      <c r="E964">
        <f>IF($A964="","",XLOOKUP($A964,Returns!A:A,Returns!E:E))</f>
        <v/>
      </c>
      <c r="F964">
        <f>IF(OR($A964="",D964=0),"",C964/D964*E964)</f>
        <v/>
      </c>
      <c r="G964">
        <f>IF($A964="","",C964+F964)</f>
        <v/>
      </c>
      <c r="H964">
        <f>IF($A964="","",SUMIFS(Contributions!E:E,Contributions!C:C,$B964,Contributions!F:F,"Reinvest",Contributions!G:G,$A964))</f>
        <v/>
      </c>
      <c r="I964">
        <f>IF($A964="","",G964-H964)</f>
        <v/>
      </c>
    </row>
    <row r="965">
      <c r="C965">
        <f>IF($A965="","",SUMIFS(Contributions!E:E,Contributions!B:B,$A965,Contributions!C:C,$B965))</f>
        <v/>
      </c>
      <c r="D965">
        <f>IF($A965="","",SUMIFS(Contributions!E:E,Contributions!B:B,$A965))</f>
        <v/>
      </c>
      <c r="E965">
        <f>IF($A965="","",XLOOKUP($A965,Returns!A:A,Returns!E:E))</f>
        <v/>
      </c>
      <c r="F965">
        <f>IF(OR($A965="",D965=0),"",C965/D965*E965)</f>
        <v/>
      </c>
      <c r="G965">
        <f>IF($A965="","",C965+F965)</f>
        <v/>
      </c>
      <c r="H965">
        <f>IF($A965="","",SUMIFS(Contributions!E:E,Contributions!C:C,$B965,Contributions!F:F,"Reinvest",Contributions!G:G,$A965))</f>
        <v/>
      </c>
      <c r="I965">
        <f>IF($A965="","",G965-H965)</f>
        <v/>
      </c>
    </row>
    <row r="966">
      <c r="C966">
        <f>IF($A966="","",SUMIFS(Contributions!E:E,Contributions!B:B,$A966,Contributions!C:C,$B966))</f>
        <v/>
      </c>
      <c r="D966">
        <f>IF($A966="","",SUMIFS(Contributions!E:E,Contributions!B:B,$A966))</f>
        <v/>
      </c>
      <c r="E966">
        <f>IF($A966="","",XLOOKUP($A966,Returns!A:A,Returns!E:E))</f>
        <v/>
      </c>
      <c r="F966">
        <f>IF(OR($A966="",D966=0),"",C966/D966*E966)</f>
        <v/>
      </c>
      <c r="G966">
        <f>IF($A966="","",C966+F966)</f>
        <v/>
      </c>
      <c r="H966">
        <f>IF($A966="","",SUMIFS(Contributions!E:E,Contributions!C:C,$B966,Contributions!F:F,"Reinvest",Contributions!G:G,$A966))</f>
        <v/>
      </c>
      <c r="I966">
        <f>IF($A966="","",G966-H966)</f>
        <v/>
      </c>
    </row>
    <row r="967">
      <c r="C967">
        <f>IF($A967="","",SUMIFS(Contributions!E:E,Contributions!B:B,$A967,Contributions!C:C,$B967))</f>
        <v/>
      </c>
      <c r="D967">
        <f>IF($A967="","",SUMIFS(Contributions!E:E,Contributions!B:B,$A967))</f>
        <v/>
      </c>
      <c r="E967">
        <f>IF($A967="","",XLOOKUP($A967,Returns!A:A,Returns!E:E))</f>
        <v/>
      </c>
      <c r="F967">
        <f>IF(OR($A967="",D967=0),"",C967/D967*E967)</f>
        <v/>
      </c>
      <c r="G967">
        <f>IF($A967="","",C967+F967)</f>
        <v/>
      </c>
      <c r="H967">
        <f>IF($A967="","",SUMIFS(Contributions!E:E,Contributions!C:C,$B967,Contributions!F:F,"Reinvest",Contributions!G:G,$A967))</f>
        <v/>
      </c>
      <c r="I967">
        <f>IF($A967="","",G967-H967)</f>
        <v/>
      </c>
    </row>
    <row r="968">
      <c r="C968">
        <f>IF($A968="","",SUMIFS(Contributions!E:E,Contributions!B:B,$A968,Contributions!C:C,$B968))</f>
        <v/>
      </c>
      <c r="D968">
        <f>IF($A968="","",SUMIFS(Contributions!E:E,Contributions!B:B,$A968))</f>
        <v/>
      </c>
      <c r="E968">
        <f>IF($A968="","",XLOOKUP($A968,Returns!A:A,Returns!E:E))</f>
        <v/>
      </c>
      <c r="F968">
        <f>IF(OR($A968="",D968=0),"",C968/D968*E968)</f>
        <v/>
      </c>
      <c r="G968">
        <f>IF($A968="","",C968+F968)</f>
        <v/>
      </c>
      <c r="H968">
        <f>IF($A968="","",SUMIFS(Contributions!E:E,Contributions!C:C,$B968,Contributions!F:F,"Reinvest",Contributions!G:G,$A968))</f>
        <v/>
      </c>
      <c r="I968">
        <f>IF($A968="","",G968-H968)</f>
        <v/>
      </c>
    </row>
    <row r="969">
      <c r="C969">
        <f>IF($A969="","",SUMIFS(Contributions!E:E,Contributions!B:B,$A969,Contributions!C:C,$B969))</f>
        <v/>
      </c>
      <c r="D969">
        <f>IF($A969="","",SUMIFS(Contributions!E:E,Contributions!B:B,$A969))</f>
        <v/>
      </c>
      <c r="E969">
        <f>IF($A969="","",XLOOKUP($A969,Returns!A:A,Returns!E:E))</f>
        <v/>
      </c>
      <c r="F969">
        <f>IF(OR($A969="",D969=0),"",C969/D969*E969)</f>
        <v/>
      </c>
      <c r="G969">
        <f>IF($A969="","",C969+F969)</f>
        <v/>
      </c>
      <c r="H969">
        <f>IF($A969="","",SUMIFS(Contributions!E:E,Contributions!C:C,$B969,Contributions!F:F,"Reinvest",Contributions!G:G,$A969))</f>
        <v/>
      </c>
      <c r="I969">
        <f>IF($A969="","",G969-H969)</f>
        <v/>
      </c>
    </row>
    <row r="970">
      <c r="C970">
        <f>IF($A970="","",SUMIFS(Contributions!E:E,Contributions!B:B,$A970,Contributions!C:C,$B970))</f>
        <v/>
      </c>
      <c r="D970">
        <f>IF($A970="","",SUMIFS(Contributions!E:E,Contributions!B:B,$A970))</f>
        <v/>
      </c>
      <c r="E970">
        <f>IF($A970="","",XLOOKUP($A970,Returns!A:A,Returns!E:E))</f>
        <v/>
      </c>
      <c r="F970">
        <f>IF(OR($A970="",D970=0),"",C970/D970*E970)</f>
        <v/>
      </c>
      <c r="G970">
        <f>IF($A970="","",C970+F970)</f>
        <v/>
      </c>
      <c r="H970">
        <f>IF($A970="","",SUMIFS(Contributions!E:E,Contributions!C:C,$B970,Contributions!F:F,"Reinvest",Contributions!G:G,$A970))</f>
        <v/>
      </c>
      <c r="I970">
        <f>IF($A970="","",G970-H970)</f>
        <v/>
      </c>
    </row>
    <row r="971">
      <c r="C971">
        <f>IF($A971="","",SUMIFS(Contributions!E:E,Contributions!B:B,$A971,Contributions!C:C,$B971))</f>
        <v/>
      </c>
      <c r="D971">
        <f>IF($A971="","",SUMIFS(Contributions!E:E,Contributions!B:B,$A971))</f>
        <v/>
      </c>
      <c r="E971">
        <f>IF($A971="","",XLOOKUP($A971,Returns!A:A,Returns!E:E))</f>
        <v/>
      </c>
      <c r="F971">
        <f>IF(OR($A971="",D971=0),"",C971/D971*E971)</f>
        <v/>
      </c>
      <c r="G971">
        <f>IF($A971="","",C971+F971)</f>
        <v/>
      </c>
      <c r="H971">
        <f>IF($A971="","",SUMIFS(Contributions!E:E,Contributions!C:C,$B971,Contributions!F:F,"Reinvest",Contributions!G:G,$A971))</f>
        <v/>
      </c>
      <c r="I971">
        <f>IF($A971="","",G971-H971)</f>
        <v/>
      </c>
    </row>
    <row r="972">
      <c r="C972">
        <f>IF($A972="","",SUMIFS(Contributions!E:E,Contributions!B:B,$A972,Contributions!C:C,$B972))</f>
        <v/>
      </c>
      <c r="D972">
        <f>IF($A972="","",SUMIFS(Contributions!E:E,Contributions!B:B,$A972))</f>
        <v/>
      </c>
      <c r="E972">
        <f>IF($A972="","",XLOOKUP($A972,Returns!A:A,Returns!E:E))</f>
        <v/>
      </c>
      <c r="F972">
        <f>IF(OR($A972="",D972=0),"",C972/D972*E972)</f>
        <v/>
      </c>
      <c r="G972">
        <f>IF($A972="","",C972+F972)</f>
        <v/>
      </c>
      <c r="H972">
        <f>IF($A972="","",SUMIFS(Contributions!E:E,Contributions!C:C,$B972,Contributions!F:F,"Reinvest",Contributions!G:G,$A972))</f>
        <v/>
      </c>
      <c r="I972">
        <f>IF($A972="","",G972-H972)</f>
        <v/>
      </c>
    </row>
    <row r="973">
      <c r="C973">
        <f>IF($A973="","",SUMIFS(Contributions!E:E,Contributions!B:B,$A973,Contributions!C:C,$B973))</f>
        <v/>
      </c>
      <c r="D973">
        <f>IF($A973="","",SUMIFS(Contributions!E:E,Contributions!B:B,$A973))</f>
        <v/>
      </c>
      <c r="E973">
        <f>IF($A973="","",XLOOKUP($A973,Returns!A:A,Returns!E:E))</f>
        <v/>
      </c>
      <c r="F973">
        <f>IF(OR($A973="",D973=0),"",C973/D973*E973)</f>
        <v/>
      </c>
      <c r="G973">
        <f>IF($A973="","",C973+F973)</f>
        <v/>
      </c>
      <c r="H973">
        <f>IF($A973="","",SUMIFS(Contributions!E:E,Contributions!C:C,$B973,Contributions!F:F,"Reinvest",Contributions!G:G,$A973))</f>
        <v/>
      </c>
      <c r="I973">
        <f>IF($A973="","",G973-H973)</f>
        <v/>
      </c>
    </row>
    <row r="974">
      <c r="C974">
        <f>IF($A974="","",SUMIFS(Contributions!E:E,Contributions!B:B,$A974,Contributions!C:C,$B974))</f>
        <v/>
      </c>
      <c r="D974">
        <f>IF($A974="","",SUMIFS(Contributions!E:E,Contributions!B:B,$A974))</f>
        <v/>
      </c>
      <c r="E974">
        <f>IF($A974="","",XLOOKUP($A974,Returns!A:A,Returns!E:E))</f>
        <v/>
      </c>
      <c r="F974">
        <f>IF(OR($A974="",D974=0),"",C974/D974*E974)</f>
        <v/>
      </c>
      <c r="G974">
        <f>IF($A974="","",C974+F974)</f>
        <v/>
      </c>
      <c r="H974">
        <f>IF($A974="","",SUMIFS(Contributions!E:E,Contributions!C:C,$B974,Contributions!F:F,"Reinvest",Contributions!G:G,$A974))</f>
        <v/>
      </c>
      <c r="I974">
        <f>IF($A974="","",G974-H974)</f>
        <v/>
      </c>
    </row>
    <row r="975">
      <c r="C975">
        <f>IF($A975="","",SUMIFS(Contributions!E:E,Contributions!B:B,$A975,Contributions!C:C,$B975))</f>
        <v/>
      </c>
      <c r="D975">
        <f>IF($A975="","",SUMIFS(Contributions!E:E,Contributions!B:B,$A975))</f>
        <v/>
      </c>
      <c r="E975">
        <f>IF($A975="","",XLOOKUP($A975,Returns!A:A,Returns!E:E))</f>
        <v/>
      </c>
      <c r="F975">
        <f>IF(OR($A975="",D975=0),"",C975/D975*E975)</f>
        <v/>
      </c>
      <c r="G975">
        <f>IF($A975="","",C975+F975)</f>
        <v/>
      </c>
      <c r="H975">
        <f>IF($A975="","",SUMIFS(Contributions!E:E,Contributions!C:C,$B975,Contributions!F:F,"Reinvest",Contributions!G:G,$A975))</f>
        <v/>
      </c>
      <c r="I975">
        <f>IF($A975="","",G975-H975)</f>
        <v/>
      </c>
    </row>
    <row r="976">
      <c r="C976">
        <f>IF($A976="","",SUMIFS(Contributions!E:E,Contributions!B:B,$A976,Contributions!C:C,$B976))</f>
        <v/>
      </c>
      <c r="D976">
        <f>IF($A976="","",SUMIFS(Contributions!E:E,Contributions!B:B,$A976))</f>
        <v/>
      </c>
      <c r="E976">
        <f>IF($A976="","",XLOOKUP($A976,Returns!A:A,Returns!E:E))</f>
        <v/>
      </c>
      <c r="F976">
        <f>IF(OR($A976="",D976=0),"",C976/D976*E976)</f>
        <v/>
      </c>
      <c r="G976">
        <f>IF($A976="","",C976+F976)</f>
        <v/>
      </c>
      <c r="H976">
        <f>IF($A976="","",SUMIFS(Contributions!E:E,Contributions!C:C,$B976,Contributions!F:F,"Reinvest",Contributions!G:G,$A976))</f>
        <v/>
      </c>
      <c r="I976">
        <f>IF($A976="","",G976-H976)</f>
        <v/>
      </c>
    </row>
    <row r="977">
      <c r="C977">
        <f>IF($A977="","",SUMIFS(Contributions!E:E,Contributions!B:B,$A977,Contributions!C:C,$B977))</f>
        <v/>
      </c>
      <c r="D977">
        <f>IF($A977="","",SUMIFS(Contributions!E:E,Contributions!B:B,$A977))</f>
        <v/>
      </c>
      <c r="E977">
        <f>IF($A977="","",XLOOKUP($A977,Returns!A:A,Returns!E:E))</f>
        <v/>
      </c>
      <c r="F977">
        <f>IF(OR($A977="",D977=0),"",C977/D977*E977)</f>
        <v/>
      </c>
      <c r="G977">
        <f>IF($A977="","",C977+F977)</f>
        <v/>
      </c>
      <c r="H977">
        <f>IF($A977="","",SUMIFS(Contributions!E:E,Contributions!C:C,$B977,Contributions!F:F,"Reinvest",Contributions!G:G,$A977))</f>
        <v/>
      </c>
      <c r="I977">
        <f>IF($A977="","",G977-H977)</f>
        <v/>
      </c>
    </row>
    <row r="978">
      <c r="C978">
        <f>IF($A978="","",SUMIFS(Contributions!E:E,Contributions!B:B,$A978,Contributions!C:C,$B978))</f>
        <v/>
      </c>
      <c r="D978">
        <f>IF($A978="","",SUMIFS(Contributions!E:E,Contributions!B:B,$A978))</f>
        <v/>
      </c>
      <c r="E978">
        <f>IF($A978="","",XLOOKUP($A978,Returns!A:A,Returns!E:E))</f>
        <v/>
      </c>
      <c r="F978">
        <f>IF(OR($A978="",D978=0),"",C978/D978*E978)</f>
        <v/>
      </c>
      <c r="G978">
        <f>IF($A978="","",C978+F978)</f>
        <v/>
      </c>
      <c r="H978">
        <f>IF($A978="","",SUMIFS(Contributions!E:E,Contributions!C:C,$B978,Contributions!F:F,"Reinvest",Contributions!G:G,$A978))</f>
        <v/>
      </c>
      <c r="I978">
        <f>IF($A978="","",G978-H978)</f>
        <v/>
      </c>
    </row>
    <row r="979">
      <c r="C979">
        <f>IF($A979="","",SUMIFS(Contributions!E:E,Contributions!B:B,$A979,Contributions!C:C,$B979))</f>
        <v/>
      </c>
      <c r="D979">
        <f>IF($A979="","",SUMIFS(Contributions!E:E,Contributions!B:B,$A979))</f>
        <v/>
      </c>
      <c r="E979">
        <f>IF($A979="","",XLOOKUP($A979,Returns!A:A,Returns!E:E))</f>
        <v/>
      </c>
      <c r="F979">
        <f>IF(OR($A979="",D979=0),"",C979/D979*E979)</f>
        <v/>
      </c>
      <c r="G979">
        <f>IF($A979="","",C979+F979)</f>
        <v/>
      </c>
      <c r="H979">
        <f>IF($A979="","",SUMIFS(Contributions!E:E,Contributions!C:C,$B979,Contributions!F:F,"Reinvest",Contributions!G:G,$A979))</f>
        <v/>
      </c>
      <c r="I979">
        <f>IF($A979="","",G979-H979)</f>
        <v/>
      </c>
    </row>
    <row r="980">
      <c r="C980">
        <f>IF($A980="","",SUMIFS(Contributions!E:E,Contributions!B:B,$A980,Contributions!C:C,$B980))</f>
        <v/>
      </c>
      <c r="D980">
        <f>IF($A980="","",SUMIFS(Contributions!E:E,Contributions!B:B,$A980))</f>
        <v/>
      </c>
      <c r="E980">
        <f>IF($A980="","",XLOOKUP($A980,Returns!A:A,Returns!E:E))</f>
        <v/>
      </c>
      <c r="F980">
        <f>IF(OR($A980="",D980=0),"",C980/D980*E980)</f>
        <v/>
      </c>
      <c r="G980">
        <f>IF($A980="","",C980+F980)</f>
        <v/>
      </c>
      <c r="H980">
        <f>IF($A980="","",SUMIFS(Contributions!E:E,Contributions!C:C,$B980,Contributions!F:F,"Reinvest",Contributions!G:G,$A980))</f>
        <v/>
      </c>
      <c r="I980">
        <f>IF($A980="","",G980-H980)</f>
        <v/>
      </c>
    </row>
    <row r="981">
      <c r="C981">
        <f>IF($A981="","",SUMIFS(Contributions!E:E,Contributions!B:B,$A981,Contributions!C:C,$B981))</f>
        <v/>
      </c>
      <c r="D981">
        <f>IF($A981="","",SUMIFS(Contributions!E:E,Contributions!B:B,$A981))</f>
        <v/>
      </c>
      <c r="E981">
        <f>IF($A981="","",XLOOKUP($A981,Returns!A:A,Returns!E:E))</f>
        <v/>
      </c>
      <c r="F981">
        <f>IF(OR($A981="",D981=0),"",C981/D981*E981)</f>
        <v/>
      </c>
      <c r="G981">
        <f>IF($A981="","",C981+F981)</f>
        <v/>
      </c>
      <c r="H981">
        <f>IF($A981="","",SUMIFS(Contributions!E:E,Contributions!C:C,$B981,Contributions!F:F,"Reinvest",Contributions!G:G,$A981))</f>
        <v/>
      </c>
      <c r="I981">
        <f>IF($A981="","",G981-H981)</f>
        <v/>
      </c>
    </row>
    <row r="982">
      <c r="C982">
        <f>IF($A982="","",SUMIFS(Contributions!E:E,Contributions!B:B,$A982,Contributions!C:C,$B982))</f>
        <v/>
      </c>
      <c r="D982">
        <f>IF($A982="","",SUMIFS(Contributions!E:E,Contributions!B:B,$A982))</f>
        <v/>
      </c>
      <c r="E982">
        <f>IF($A982="","",XLOOKUP($A982,Returns!A:A,Returns!E:E))</f>
        <v/>
      </c>
      <c r="F982">
        <f>IF(OR($A982="",D982=0),"",C982/D982*E982)</f>
        <v/>
      </c>
      <c r="G982">
        <f>IF($A982="","",C982+F982)</f>
        <v/>
      </c>
      <c r="H982">
        <f>IF($A982="","",SUMIFS(Contributions!E:E,Contributions!C:C,$B982,Contributions!F:F,"Reinvest",Contributions!G:G,$A982))</f>
        <v/>
      </c>
      <c r="I982">
        <f>IF($A982="","",G982-H982)</f>
        <v/>
      </c>
    </row>
    <row r="983">
      <c r="C983">
        <f>IF($A983="","",SUMIFS(Contributions!E:E,Contributions!B:B,$A983,Contributions!C:C,$B983))</f>
        <v/>
      </c>
      <c r="D983">
        <f>IF($A983="","",SUMIFS(Contributions!E:E,Contributions!B:B,$A983))</f>
        <v/>
      </c>
      <c r="E983">
        <f>IF($A983="","",XLOOKUP($A983,Returns!A:A,Returns!E:E))</f>
        <v/>
      </c>
      <c r="F983">
        <f>IF(OR($A983="",D983=0),"",C983/D983*E983)</f>
        <v/>
      </c>
      <c r="G983">
        <f>IF($A983="","",C983+F983)</f>
        <v/>
      </c>
      <c r="H983">
        <f>IF($A983="","",SUMIFS(Contributions!E:E,Contributions!C:C,$B983,Contributions!F:F,"Reinvest",Contributions!G:G,$A983))</f>
        <v/>
      </c>
      <c r="I983">
        <f>IF($A983="","",G983-H983)</f>
        <v/>
      </c>
    </row>
    <row r="984">
      <c r="C984">
        <f>IF($A984="","",SUMIFS(Contributions!E:E,Contributions!B:B,$A984,Contributions!C:C,$B984))</f>
        <v/>
      </c>
      <c r="D984">
        <f>IF($A984="","",SUMIFS(Contributions!E:E,Contributions!B:B,$A984))</f>
        <v/>
      </c>
      <c r="E984">
        <f>IF($A984="","",XLOOKUP($A984,Returns!A:A,Returns!E:E))</f>
        <v/>
      </c>
      <c r="F984">
        <f>IF(OR($A984="",D984=0),"",C984/D984*E984)</f>
        <v/>
      </c>
      <c r="G984">
        <f>IF($A984="","",C984+F984)</f>
        <v/>
      </c>
      <c r="H984">
        <f>IF($A984="","",SUMIFS(Contributions!E:E,Contributions!C:C,$B984,Contributions!F:F,"Reinvest",Contributions!G:G,$A984))</f>
        <v/>
      </c>
      <c r="I984">
        <f>IF($A984="","",G984-H984)</f>
        <v/>
      </c>
    </row>
    <row r="985">
      <c r="C985">
        <f>IF($A985="","",SUMIFS(Contributions!E:E,Contributions!B:B,$A985,Contributions!C:C,$B985))</f>
        <v/>
      </c>
      <c r="D985">
        <f>IF($A985="","",SUMIFS(Contributions!E:E,Contributions!B:B,$A985))</f>
        <v/>
      </c>
      <c r="E985">
        <f>IF($A985="","",XLOOKUP($A985,Returns!A:A,Returns!E:E))</f>
        <v/>
      </c>
      <c r="F985">
        <f>IF(OR($A985="",D985=0),"",C985/D985*E985)</f>
        <v/>
      </c>
      <c r="G985">
        <f>IF($A985="","",C985+F985)</f>
        <v/>
      </c>
      <c r="H985">
        <f>IF($A985="","",SUMIFS(Contributions!E:E,Contributions!C:C,$B985,Contributions!F:F,"Reinvest",Contributions!G:G,$A985))</f>
        <v/>
      </c>
      <c r="I985">
        <f>IF($A985="","",G985-H985)</f>
        <v/>
      </c>
    </row>
    <row r="986">
      <c r="C986">
        <f>IF($A986="","",SUMIFS(Contributions!E:E,Contributions!B:B,$A986,Contributions!C:C,$B986))</f>
        <v/>
      </c>
      <c r="D986">
        <f>IF($A986="","",SUMIFS(Contributions!E:E,Contributions!B:B,$A986))</f>
        <v/>
      </c>
      <c r="E986">
        <f>IF($A986="","",XLOOKUP($A986,Returns!A:A,Returns!E:E))</f>
        <v/>
      </c>
      <c r="F986">
        <f>IF(OR($A986="",D986=0),"",C986/D986*E986)</f>
        <v/>
      </c>
      <c r="G986">
        <f>IF($A986="","",C986+F986)</f>
        <v/>
      </c>
      <c r="H986">
        <f>IF($A986="","",SUMIFS(Contributions!E:E,Contributions!C:C,$B986,Contributions!F:F,"Reinvest",Contributions!G:G,$A986))</f>
        <v/>
      </c>
      <c r="I986">
        <f>IF($A986="","",G986-H986)</f>
        <v/>
      </c>
    </row>
    <row r="987">
      <c r="C987">
        <f>IF($A987="","",SUMIFS(Contributions!E:E,Contributions!B:B,$A987,Contributions!C:C,$B987))</f>
        <v/>
      </c>
      <c r="D987">
        <f>IF($A987="","",SUMIFS(Contributions!E:E,Contributions!B:B,$A987))</f>
        <v/>
      </c>
      <c r="E987">
        <f>IF($A987="","",XLOOKUP($A987,Returns!A:A,Returns!E:E))</f>
        <v/>
      </c>
      <c r="F987">
        <f>IF(OR($A987="",D987=0),"",C987/D987*E987)</f>
        <v/>
      </c>
      <c r="G987">
        <f>IF($A987="","",C987+F987)</f>
        <v/>
      </c>
      <c r="H987">
        <f>IF($A987="","",SUMIFS(Contributions!E:E,Contributions!C:C,$B987,Contributions!F:F,"Reinvest",Contributions!G:G,$A987))</f>
        <v/>
      </c>
      <c r="I987">
        <f>IF($A987="","",G987-H987)</f>
        <v/>
      </c>
    </row>
    <row r="988">
      <c r="C988">
        <f>IF($A988="","",SUMIFS(Contributions!E:E,Contributions!B:B,$A988,Contributions!C:C,$B988))</f>
        <v/>
      </c>
      <c r="D988">
        <f>IF($A988="","",SUMIFS(Contributions!E:E,Contributions!B:B,$A988))</f>
        <v/>
      </c>
      <c r="E988">
        <f>IF($A988="","",XLOOKUP($A988,Returns!A:A,Returns!E:E))</f>
        <v/>
      </c>
      <c r="F988">
        <f>IF(OR($A988="",D988=0),"",C988/D988*E988)</f>
        <v/>
      </c>
      <c r="G988">
        <f>IF($A988="","",C988+F988)</f>
        <v/>
      </c>
      <c r="H988">
        <f>IF($A988="","",SUMIFS(Contributions!E:E,Contributions!C:C,$B988,Contributions!F:F,"Reinvest",Contributions!G:G,$A988))</f>
        <v/>
      </c>
      <c r="I988">
        <f>IF($A988="","",G988-H988)</f>
        <v/>
      </c>
    </row>
    <row r="989">
      <c r="C989">
        <f>IF($A989="","",SUMIFS(Contributions!E:E,Contributions!B:B,$A989,Contributions!C:C,$B989))</f>
        <v/>
      </c>
      <c r="D989">
        <f>IF($A989="","",SUMIFS(Contributions!E:E,Contributions!B:B,$A989))</f>
        <v/>
      </c>
      <c r="E989">
        <f>IF($A989="","",XLOOKUP($A989,Returns!A:A,Returns!E:E))</f>
        <v/>
      </c>
      <c r="F989">
        <f>IF(OR($A989="",D989=0),"",C989/D989*E989)</f>
        <v/>
      </c>
      <c r="G989">
        <f>IF($A989="","",C989+F989)</f>
        <v/>
      </c>
      <c r="H989">
        <f>IF($A989="","",SUMIFS(Contributions!E:E,Contributions!C:C,$B989,Contributions!F:F,"Reinvest",Contributions!G:G,$A989))</f>
        <v/>
      </c>
      <c r="I989">
        <f>IF($A989="","",G989-H989)</f>
        <v/>
      </c>
    </row>
    <row r="990">
      <c r="C990">
        <f>IF($A990="","",SUMIFS(Contributions!E:E,Contributions!B:B,$A990,Contributions!C:C,$B990))</f>
        <v/>
      </c>
      <c r="D990">
        <f>IF($A990="","",SUMIFS(Contributions!E:E,Contributions!B:B,$A990))</f>
        <v/>
      </c>
      <c r="E990">
        <f>IF($A990="","",XLOOKUP($A990,Returns!A:A,Returns!E:E))</f>
        <v/>
      </c>
      <c r="F990">
        <f>IF(OR($A990="",D990=0),"",C990/D990*E990)</f>
        <v/>
      </c>
      <c r="G990">
        <f>IF($A990="","",C990+F990)</f>
        <v/>
      </c>
      <c r="H990">
        <f>IF($A990="","",SUMIFS(Contributions!E:E,Contributions!C:C,$B990,Contributions!F:F,"Reinvest",Contributions!G:G,$A990))</f>
        <v/>
      </c>
      <c r="I990">
        <f>IF($A990="","",G990-H990)</f>
        <v/>
      </c>
    </row>
    <row r="991">
      <c r="C991">
        <f>IF($A991="","",SUMIFS(Contributions!E:E,Contributions!B:B,$A991,Contributions!C:C,$B991))</f>
        <v/>
      </c>
      <c r="D991">
        <f>IF($A991="","",SUMIFS(Contributions!E:E,Contributions!B:B,$A991))</f>
        <v/>
      </c>
      <c r="E991">
        <f>IF($A991="","",XLOOKUP($A991,Returns!A:A,Returns!E:E))</f>
        <v/>
      </c>
      <c r="F991">
        <f>IF(OR($A991="",D991=0),"",C991/D991*E991)</f>
        <v/>
      </c>
      <c r="G991">
        <f>IF($A991="","",C991+F991)</f>
        <v/>
      </c>
      <c r="H991">
        <f>IF($A991="","",SUMIFS(Contributions!E:E,Contributions!C:C,$B991,Contributions!F:F,"Reinvest",Contributions!G:G,$A991))</f>
        <v/>
      </c>
      <c r="I991">
        <f>IF($A991="","",G991-H991)</f>
        <v/>
      </c>
    </row>
    <row r="992">
      <c r="C992">
        <f>IF($A992="","",SUMIFS(Contributions!E:E,Contributions!B:B,$A992,Contributions!C:C,$B992))</f>
        <v/>
      </c>
      <c r="D992">
        <f>IF($A992="","",SUMIFS(Contributions!E:E,Contributions!B:B,$A992))</f>
        <v/>
      </c>
      <c r="E992">
        <f>IF($A992="","",XLOOKUP($A992,Returns!A:A,Returns!E:E))</f>
        <v/>
      </c>
      <c r="F992">
        <f>IF(OR($A992="",D992=0),"",C992/D992*E992)</f>
        <v/>
      </c>
      <c r="G992">
        <f>IF($A992="","",C992+F992)</f>
        <v/>
      </c>
      <c r="H992">
        <f>IF($A992="","",SUMIFS(Contributions!E:E,Contributions!C:C,$B992,Contributions!F:F,"Reinvest",Contributions!G:G,$A992))</f>
        <v/>
      </c>
      <c r="I992">
        <f>IF($A992="","",G992-H992)</f>
        <v/>
      </c>
    </row>
    <row r="993">
      <c r="C993">
        <f>IF($A993="","",SUMIFS(Contributions!E:E,Contributions!B:B,$A993,Contributions!C:C,$B993))</f>
        <v/>
      </c>
      <c r="D993">
        <f>IF($A993="","",SUMIFS(Contributions!E:E,Contributions!B:B,$A993))</f>
        <v/>
      </c>
      <c r="E993">
        <f>IF($A993="","",XLOOKUP($A993,Returns!A:A,Returns!E:E))</f>
        <v/>
      </c>
      <c r="F993">
        <f>IF(OR($A993="",D993=0),"",C993/D993*E993)</f>
        <v/>
      </c>
      <c r="G993">
        <f>IF($A993="","",C993+F993)</f>
        <v/>
      </c>
      <c r="H993">
        <f>IF($A993="","",SUMIFS(Contributions!E:E,Contributions!C:C,$B993,Contributions!F:F,"Reinvest",Contributions!G:G,$A993))</f>
        <v/>
      </c>
      <c r="I993">
        <f>IF($A993="","",G993-H993)</f>
        <v/>
      </c>
    </row>
    <row r="994">
      <c r="C994">
        <f>IF($A994="","",SUMIFS(Contributions!E:E,Contributions!B:B,$A994,Contributions!C:C,$B994))</f>
        <v/>
      </c>
      <c r="D994">
        <f>IF($A994="","",SUMIFS(Contributions!E:E,Contributions!B:B,$A994))</f>
        <v/>
      </c>
      <c r="E994">
        <f>IF($A994="","",XLOOKUP($A994,Returns!A:A,Returns!E:E))</f>
        <v/>
      </c>
      <c r="F994">
        <f>IF(OR($A994="",D994=0),"",C994/D994*E994)</f>
        <v/>
      </c>
      <c r="G994">
        <f>IF($A994="","",C994+F994)</f>
        <v/>
      </c>
      <c r="H994">
        <f>IF($A994="","",SUMIFS(Contributions!E:E,Contributions!C:C,$B994,Contributions!F:F,"Reinvest",Contributions!G:G,$A994))</f>
        <v/>
      </c>
      <c r="I994">
        <f>IF($A994="","",G994-H994)</f>
        <v/>
      </c>
    </row>
    <row r="995">
      <c r="C995">
        <f>IF($A995="","",SUMIFS(Contributions!E:E,Contributions!B:B,$A995,Contributions!C:C,$B995))</f>
        <v/>
      </c>
      <c r="D995">
        <f>IF($A995="","",SUMIFS(Contributions!E:E,Contributions!B:B,$A995))</f>
        <v/>
      </c>
      <c r="E995">
        <f>IF($A995="","",XLOOKUP($A995,Returns!A:A,Returns!E:E))</f>
        <v/>
      </c>
      <c r="F995">
        <f>IF(OR($A995="",D995=0),"",C995/D995*E995)</f>
        <v/>
      </c>
      <c r="G995">
        <f>IF($A995="","",C995+F995)</f>
        <v/>
      </c>
      <c r="H995">
        <f>IF($A995="","",SUMIFS(Contributions!E:E,Contributions!C:C,$B995,Contributions!F:F,"Reinvest",Contributions!G:G,$A995))</f>
        <v/>
      </c>
      <c r="I995">
        <f>IF($A995="","",G995-H995)</f>
        <v/>
      </c>
    </row>
    <row r="996">
      <c r="C996">
        <f>IF($A996="","",SUMIFS(Contributions!E:E,Contributions!B:B,$A996,Contributions!C:C,$B996))</f>
        <v/>
      </c>
      <c r="D996">
        <f>IF($A996="","",SUMIFS(Contributions!E:E,Contributions!B:B,$A996))</f>
        <v/>
      </c>
      <c r="E996">
        <f>IF($A996="","",XLOOKUP($A996,Returns!A:A,Returns!E:E))</f>
        <v/>
      </c>
      <c r="F996">
        <f>IF(OR($A996="",D996=0),"",C996/D996*E996)</f>
        <v/>
      </c>
      <c r="G996">
        <f>IF($A996="","",C996+F996)</f>
        <v/>
      </c>
      <c r="H996">
        <f>IF($A996="","",SUMIFS(Contributions!E:E,Contributions!C:C,$B996,Contributions!F:F,"Reinvest",Contributions!G:G,$A996))</f>
        <v/>
      </c>
      <c r="I996">
        <f>IF($A996="","",G996-H996)</f>
        <v/>
      </c>
    </row>
    <row r="997">
      <c r="C997">
        <f>IF($A997="","",SUMIFS(Contributions!E:E,Contributions!B:B,$A997,Contributions!C:C,$B997))</f>
        <v/>
      </c>
      <c r="D997">
        <f>IF($A997="","",SUMIFS(Contributions!E:E,Contributions!B:B,$A997))</f>
        <v/>
      </c>
      <c r="E997">
        <f>IF($A997="","",XLOOKUP($A997,Returns!A:A,Returns!E:E))</f>
        <v/>
      </c>
      <c r="F997">
        <f>IF(OR($A997="",D997=0),"",C997/D997*E997)</f>
        <v/>
      </c>
      <c r="G997">
        <f>IF($A997="","",C997+F997)</f>
        <v/>
      </c>
      <c r="H997">
        <f>IF($A997="","",SUMIFS(Contributions!E:E,Contributions!C:C,$B997,Contributions!F:F,"Reinvest",Contributions!G:G,$A997))</f>
        <v/>
      </c>
      <c r="I997">
        <f>IF($A997="","",G997-H997)</f>
        <v/>
      </c>
    </row>
    <row r="998">
      <c r="C998">
        <f>IF($A998="","",SUMIFS(Contributions!E:E,Contributions!B:B,$A998,Contributions!C:C,$B998))</f>
        <v/>
      </c>
      <c r="D998">
        <f>IF($A998="","",SUMIFS(Contributions!E:E,Contributions!B:B,$A998))</f>
        <v/>
      </c>
      <c r="E998">
        <f>IF($A998="","",XLOOKUP($A998,Returns!A:A,Returns!E:E))</f>
        <v/>
      </c>
      <c r="F998">
        <f>IF(OR($A998="",D998=0),"",C998/D998*E998)</f>
        <v/>
      </c>
      <c r="G998">
        <f>IF($A998="","",C998+F998)</f>
        <v/>
      </c>
      <c r="H998">
        <f>IF($A998="","",SUMIFS(Contributions!E:E,Contributions!C:C,$B998,Contributions!F:F,"Reinvest",Contributions!G:G,$A998))</f>
        <v/>
      </c>
      <c r="I998">
        <f>IF($A998="","",G998-H998)</f>
        <v/>
      </c>
    </row>
    <row r="999">
      <c r="C999">
        <f>IF($A999="","",SUMIFS(Contributions!E:E,Contributions!B:B,$A999,Contributions!C:C,$B999))</f>
        <v/>
      </c>
      <c r="D999">
        <f>IF($A999="","",SUMIFS(Contributions!E:E,Contributions!B:B,$A999))</f>
        <v/>
      </c>
      <c r="E999">
        <f>IF($A999="","",XLOOKUP($A999,Returns!A:A,Returns!E:E))</f>
        <v/>
      </c>
      <c r="F999">
        <f>IF(OR($A999="",D999=0),"",C999/D999*E999)</f>
        <v/>
      </c>
      <c r="G999">
        <f>IF($A999="","",C999+F999)</f>
        <v/>
      </c>
      <c r="H999">
        <f>IF($A999="","",SUMIFS(Contributions!E:E,Contributions!C:C,$B999,Contributions!F:F,"Reinvest",Contributions!G:G,$A999))</f>
        <v/>
      </c>
      <c r="I999">
        <f>IF($A999="","",G999-H999)</f>
        <v/>
      </c>
    </row>
    <row r="1000">
      <c r="C1000">
        <f>IF($A1000="","",SUMIFS(Contributions!E:E,Contributions!B:B,$A1000,Contributions!C:C,$B1000))</f>
        <v/>
      </c>
      <c r="D1000">
        <f>IF($A1000="","",SUMIFS(Contributions!E:E,Contributions!B:B,$A1000))</f>
        <v/>
      </c>
      <c r="E1000">
        <f>IF($A1000="","",XLOOKUP($A1000,Returns!A:A,Returns!E:E))</f>
        <v/>
      </c>
      <c r="F1000">
        <f>IF(OR($A1000="",D1000=0),"",C1000/D1000*E1000)</f>
        <v/>
      </c>
      <c r="G1000">
        <f>IF($A1000="","",C1000+F1000)</f>
        <v/>
      </c>
      <c r="H1000">
        <f>IF($A1000="","",SUMIFS(Contributions!E:E,Contributions!C:C,$B1000,Contributions!F:F,"Reinvest",Contributions!G:G,$A1000))</f>
        <v/>
      </c>
      <c r="I1000">
        <f>IF($A1000="","",G1000-H1000)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Today</t>
        </is>
      </c>
      <c r="B2">
        <f>TODAY()</f>
        <v/>
      </c>
    </row>
    <row r="3">
      <c r="A3" t="inlineStr">
        <is>
          <t>Open Batches</t>
        </is>
      </c>
      <c r="B3">
        <f>COUNTIF(Batches!F:F,"Open")</f>
        <v/>
      </c>
    </row>
    <row r="4">
      <c r="A4" t="inlineStr">
        <is>
          <t>Total Principal Invested</t>
        </is>
      </c>
      <c r="B4">
        <f>SUM(Contributions!E:E)</f>
        <v/>
      </c>
    </row>
    <row r="5">
      <c r="A5" t="inlineStr">
        <is>
          <t>Total Profit Realized</t>
        </is>
      </c>
      <c r="B5">
        <f>SUM(Returns!E:E)</f>
        <v/>
      </c>
    </row>
    <row r="6">
      <c r="A6" t="inlineStr">
        <is>
          <t>Total Cashout</t>
        </is>
      </c>
      <c r="B6">
        <f>SUM(Payouts!I:I)</f>
        <v/>
      </c>
    </row>
    <row r="7">
      <c r="A7" t="inlineStr">
        <is>
          <t>Total Reinvested</t>
        </is>
      </c>
      <c r="B7">
        <f>SUM(Payouts!H:H)</f>
        <v/>
      </c>
    </row>
    <row r="8">
      <c r="A8" t="inlineStr">
        <is>
          <t>Upcoming Maturities (30 Days)</t>
        </is>
      </c>
      <c r="B8">
        <f>COUNTIFS(Batches!E:E,"&gt;="&amp;TODAY(),Batches!E:E,"&lt;="&amp;TODAY()+30)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How to use this template (v2):</t>
        </is>
      </c>
    </row>
    <row r="2">
      <c r="A2" t="inlineStr">
        <is>
          <t>1) Add all people in Members with unique Member_ID values.</t>
        </is>
      </c>
    </row>
    <row r="3">
      <c r="A3" t="inlineStr">
        <is>
          <t>2) Add each investment round in Batches. Maturity_Date is auto-calculated.</t>
        </is>
      </c>
    </row>
    <row r="4">
      <c r="A4" t="inlineStr">
        <is>
          <t>3) Add Contributions rows. Use Source dropdown: Cash or Reinvest.</t>
        </is>
      </c>
    </row>
    <row r="5">
      <c r="A5" t="inlineStr">
        <is>
          <t>4) Amount is auto-calculated from Shares and Batch Share_Price.</t>
        </is>
      </c>
    </row>
    <row r="6">
      <c r="A6" t="inlineStr">
        <is>
          <t>5) When a batch matures, enter Total_Return in Returns.</t>
        </is>
      </c>
    </row>
    <row r="7">
      <c r="A7" t="inlineStr">
        <is>
          <t>6) Payouts sheet auto-generates Batch_ID + Member_ID pairs from Contributions.</t>
        </is>
      </c>
    </row>
    <row r="8">
      <c r="A8" t="inlineStr">
        <is>
          <t>7) If a member reinvests from an old batch, create a new Contributions row with Source=Reinvest and Source_Batch_ID = old batch.</t>
        </is>
      </c>
    </row>
    <row r="9">
      <c r="A9" t="inlineStr">
        <is>
          <t>8) Cashout = Gross_Payout - Reinvested.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2026-03-04T06:18:05Z</dcterms:created>
  <dcterms:modified xsi:type="dcterms:W3CDTF">2026-03-04T06:18:05Z</dcterms:modified>
</cp:coreProperties>
</file>