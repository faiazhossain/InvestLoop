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Batches" sheetId="2" state="visible" r:id="rId2"/>
    <sheet name="Contributions" sheetId="3" state="visible" r:id="rId3"/>
    <sheet name="Returns" sheetId="4" state="visible" r:id="rId4"/>
    <sheet name="Payouts" sheetId="5" state="visible" r:id="rId5"/>
    <sheet name="Dashboard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0" customWidth="1" min="4" max="4"/>
  </cols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Phone_Email</t>
        </is>
      </c>
      <c r="D1" s="1" t="inlineStr">
        <is>
          <t>Active</t>
        </is>
      </c>
    </row>
    <row r="2">
      <c r="A2" t="inlineStr">
        <is>
          <t>M001</t>
        </is>
      </c>
      <c r="B2" t="inlineStr">
        <is>
          <t>Sample Member</t>
        </is>
      </c>
      <c r="C2" t="inlineStr"/>
      <c r="D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Batch_ID</t>
        </is>
      </c>
      <c r="B1" s="1" t="inlineStr">
        <is>
          <t>Start_Date</t>
        </is>
      </c>
      <c r="C1" s="1" t="inlineStr">
        <is>
          <t>Term_Months</t>
        </is>
      </c>
      <c r="D1" s="1" t="inlineStr">
        <is>
          <t>Share_Price</t>
        </is>
      </c>
      <c r="E1" s="1" t="inlineStr">
        <is>
          <t>Maturity_Date</t>
        </is>
      </c>
      <c r="F1" s="1" t="inlineStr">
        <is>
          <t>Status</t>
        </is>
      </c>
    </row>
    <row r="2">
      <c r="A2" t="inlineStr">
        <is>
          <t>B001</t>
        </is>
      </c>
      <c r="B2" t="inlineStr">
        <is>
          <t>2026-03-01</t>
        </is>
      </c>
      <c r="C2" t="n">
        <v>3</v>
      </c>
      <c r="D2" t="n">
        <v>2000</v>
      </c>
      <c r="E2">
        <f>EDATE(B2,C2)</f>
        <v/>
      </c>
      <c r="F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Batch_ID</t>
        </is>
      </c>
      <c r="C1" s="1" t="inlineStr">
        <is>
          <t>Member_ID</t>
        </is>
      </c>
      <c r="D1" s="1" t="inlineStr">
        <is>
          <t>Shares</t>
        </is>
      </c>
      <c r="E1" s="1" t="inlineStr">
        <is>
          <t>Amount</t>
        </is>
      </c>
      <c r="F1" s="1" t="inlineStr">
        <is>
          <t>Source</t>
        </is>
      </c>
      <c r="G1" s="1" t="inlineStr">
        <is>
          <t>Source_Batch_ID</t>
        </is>
      </c>
    </row>
    <row r="2">
      <c r="A2" t="inlineStr">
        <is>
          <t>2026-03-01</t>
        </is>
      </c>
      <c r="B2" t="inlineStr">
        <is>
          <t>B001</t>
        </is>
      </c>
      <c r="C2" t="inlineStr">
        <is>
          <t>M001</t>
        </is>
      </c>
      <c r="D2" t="n">
        <v>1</v>
      </c>
      <c r="E2">
        <f>D2*XLOOKUP(B2,Batches!A:A,Batches!D:D)</f>
        <v/>
      </c>
      <c r="F2" t="inlineStr">
        <is>
          <t>Cash</t>
        </is>
      </c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Batch_ID</t>
        </is>
      </c>
      <c r="B1" s="1" t="inlineStr">
        <is>
          <t>Return_Date</t>
        </is>
      </c>
      <c r="C1" s="1" t="inlineStr">
        <is>
          <t>Total_Return</t>
        </is>
      </c>
      <c r="D1" s="1" t="inlineStr">
        <is>
          <t>Total_Principal</t>
        </is>
      </c>
      <c r="E1" s="1" t="inlineStr">
        <is>
          <t>Profit</t>
        </is>
      </c>
    </row>
    <row r="2">
      <c r="A2" t="inlineStr">
        <is>
          <t>B001</t>
        </is>
      </c>
      <c r="B2" t="inlineStr">
        <is>
          <t>2026-06-01</t>
        </is>
      </c>
      <c r="C2" t="inlineStr"/>
      <c r="D2">
        <f>SUMIFS(Contributions!E:E,Contributions!B:B,A2)</f>
        <v/>
      </c>
      <c r="E2">
        <f>C2-D2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Batch_ID</t>
        </is>
      </c>
      <c r="B1" s="1" t="inlineStr">
        <is>
          <t>Member_ID</t>
        </is>
      </c>
      <c r="C1" s="1" t="inlineStr">
        <is>
          <t>Principal</t>
        </is>
      </c>
      <c r="D1" s="1" t="inlineStr">
        <is>
          <t>Batch_Principal</t>
        </is>
      </c>
      <c r="E1" s="1" t="inlineStr">
        <is>
          <t>Batch_Profit</t>
        </is>
      </c>
      <c r="F1" s="1" t="inlineStr">
        <is>
          <t>Member_Profit</t>
        </is>
      </c>
      <c r="G1" s="1" t="inlineStr">
        <is>
          <t>Gross_Payout</t>
        </is>
      </c>
      <c r="H1" s="1" t="inlineStr">
        <is>
          <t>Reinvested</t>
        </is>
      </c>
      <c r="I1" s="1" t="inlineStr">
        <is>
          <t>Cashout</t>
        </is>
      </c>
    </row>
    <row r="2">
      <c r="A2" t="inlineStr">
        <is>
          <t>B001</t>
        </is>
      </c>
      <c r="B2" t="inlineStr">
        <is>
          <t>M001</t>
        </is>
      </c>
      <c r="C2">
        <f>SUMIFS(Contributions!E:E,Contributions!B:B,$A2,Contributions!C:C,$B2)</f>
        <v/>
      </c>
      <c r="D2">
        <f>SUMIFS(Contributions!E:E,Contributions!B:B,$A2)</f>
        <v/>
      </c>
      <c r="E2">
        <f>XLOOKUP($A2,Returns!A:A,Returns!E:E)</f>
        <v/>
      </c>
      <c r="F2">
        <f>IF(D2=0,0,C2/D2*E2)</f>
        <v/>
      </c>
      <c r="G2">
        <f>C2+F2</f>
        <v/>
      </c>
      <c r="H2">
        <f>SUMIFS(Contributions!E:E,Contributions!C:C,$B2,Contributions!F:F,"Reinvest",Contributions!G:G,$A2)</f>
        <v/>
      </c>
      <c r="I2">
        <f>G2-H2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Today</t>
        </is>
      </c>
      <c r="B2">
        <f>TODAY()</f>
        <v/>
      </c>
    </row>
    <row r="3">
      <c r="A3" t="inlineStr">
        <is>
          <t>Open Batches</t>
        </is>
      </c>
      <c r="B3">
        <f>COUNTIF(Batches!F:F,"Open")</f>
        <v/>
      </c>
    </row>
    <row r="4">
      <c r="A4" t="inlineStr">
        <is>
          <t>Total Principal Invested</t>
        </is>
      </c>
      <c r="B4">
        <f>SUM(Contributions!E:E)</f>
        <v/>
      </c>
    </row>
    <row r="5">
      <c r="A5" t="inlineStr">
        <is>
          <t>Total Profit Realized</t>
        </is>
      </c>
      <c r="B5">
        <f>SUM(Returns!E:E)</f>
        <v/>
      </c>
    </row>
    <row r="6">
      <c r="A6" t="inlineStr">
        <is>
          <t>Total Cashout</t>
        </is>
      </c>
      <c r="B6">
        <f>SUM(Payouts!I:I)</f>
        <v/>
      </c>
    </row>
    <row r="7">
      <c r="A7" t="inlineStr">
        <is>
          <t>Total Reinvested</t>
        </is>
      </c>
      <c r="B7">
        <f>SUM(Payouts!H:H)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How to use this template:</t>
        </is>
      </c>
    </row>
    <row r="2">
      <c r="A2" t="inlineStr">
        <is>
          <t>1) Add all people in Members sheet with unique Member_ID.</t>
        </is>
      </c>
    </row>
    <row r="3">
      <c r="A3" t="inlineStr">
        <is>
          <t>2) Add each investment round in Batches with Start_Date, Term_Months, Share_Price.</t>
        </is>
      </c>
    </row>
    <row r="4">
      <c r="A4" t="inlineStr">
        <is>
          <t>3) Add each contribution in Contributions. Amount auto-calculates from Shares x Share_Price.</t>
        </is>
      </c>
    </row>
    <row r="5">
      <c r="A5" t="inlineStr">
        <is>
          <t>4) When a batch matures, fill Total_Return in Returns.</t>
        </is>
      </c>
    </row>
    <row r="6">
      <c r="A6" t="inlineStr">
        <is>
          <t>5) Create one row per member-batch in Payouts to calculate principal, profit, gross payout.</t>
        </is>
      </c>
    </row>
    <row r="7">
      <c r="A7" t="inlineStr">
        <is>
          <t>6) If a member reinvests, add a new Contributions row with Source="Reinvest" and Source_Batch_ID as old batch.</t>
        </is>
      </c>
    </row>
    <row r="8">
      <c r="A8" t="inlineStr">
        <is>
          <t>7) Dashboard gives quick totals. Extend formulas down as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2026-03-04T06:16:04Z</dcterms:created>
  <dcterms:modified xsi:type="dcterms:W3CDTF">2026-03-04T06:16:04Z</dcterms:modified>
</cp:coreProperties>
</file>